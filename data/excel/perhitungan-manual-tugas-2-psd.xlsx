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4" sheetId="1" state="visible" r:id="rId1"/>
    <sheet xmlns:r="http://schemas.openxmlformats.org/officeDocument/2006/relationships" name="CO" sheetId="2" state="visible" r:id="rId2"/>
    <sheet xmlns:r="http://schemas.openxmlformats.org/officeDocument/2006/relationships" name="NO2" sheetId="3" state="visible" r:id="rId3"/>
    <sheet xmlns:r="http://schemas.openxmlformats.org/officeDocument/2006/relationships" name="SO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00"/>
    <numFmt numFmtId="165" formatCode="0.000"/>
    <numFmt numFmtId="166" formatCode="0.000000"/>
    <numFmt numFmtId="167" formatCode="0.00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3" fillId="0" borderId="1" pivotButton="0" quotePrefix="0" xfId="0"/>
    <xf numFmtId="1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66" fontId="2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5" customWidth="1" min="4" max="4"/>
    <col width="46" customWidth="1" min="5" max="5"/>
    <col width="26" customWidth="1" min="6" max="6"/>
  </cols>
  <sheetData>
    <row r="1">
      <c r="A1" s="1" t="inlineStr">
        <is>
          <t>No</t>
        </is>
      </c>
      <c r="B1" s="1" t="inlineStr">
        <is>
          <t>Tanggal (Date)</t>
        </is>
      </c>
      <c r="C1" s="1" t="inlineStr">
        <is>
          <t>Konsentrasi CH4</t>
        </is>
      </c>
      <c r="E1" s="2" t="inlineStr">
        <is>
          <t>Indikator Statistik Deskriptif</t>
        </is>
      </c>
      <c r="F1" s="2" t="inlineStr">
        <is>
          <t>Hasil Hitungan Excel</t>
        </is>
      </c>
    </row>
    <row r="2">
      <c r="A2" s="3" t="n">
        <v>1</v>
      </c>
      <c r="B2" s="3" t="inlineStr">
        <is>
          <t>2025-08-29</t>
        </is>
      </c>
      <c r="C2" s="4" t="n">
        <v>1871.754028320312</v>
      </c>
      <c r="E2" s="5" t="inlineStr">
        <is>
          <t>Banyaknya Data Valid (N)</t>
        </is>
      </c>
      <c r="F2" s="6">
        <f>COUNT(C2:C21)</f>
        <v/>
      </c>
    </row>
    <row r="3">
      <c r="A3" s="3" t="n">
        <v>2</v>
      </c>
      <c r="B3" s="3" t="inlineStr">
        <is>
          <t>2025-10-10</t>
        </is>
      </c>
      <c r="C3" s="4" t="n">
        <v>1881.768920898437</v>
      </c>
      <c r="E3" s="5" t="inlineStr">
        <is>
          <t>Minimum (Min)</t>
        </is>
      </c>
      <c r="F3" s="7">
        <f>MIN(C2:C21)</f>
        <v/>
      </c>
    </row>
    <row r="4">
      <c r="A4" s="3" t="n">
        <v>3</v>
      </c>
      <c r="B4" s="3" t="inlineStr">
        <is>
          <t>2026-05-06</t>
        </is>
      </c>
      <c r="C4" s="4" t="n">
        <v>1903.709350585937</v>
      </c>
      <c r="E4" s="5" t="inlineStr">
        <is>
          <t>Maksimum (Max)</t>
        </is>
      </c>
      <c r="F4" s="7">
        <f>MAX(C2:C21)</f>
        <v/>
      </c>
    </row>
    <row r="5">
      <c r="A5" s="3" t="n">
        <v>4</v>
      </c>
      <c r="B5" s="3" t="inlineStr">
        <is>
          <t>2026-05-12</t>
        </is>
      </c>
      <c r="C5" s="4" t="n">
        <v>1862.139526367188</v>
      </c>
      <c r="E5" s="5" t="inlineStr">
        <is>
          <t>Rata-Rata (Mean / X_bar)</t>
        </is>
      </c>
      <c r="F5" s="7">
        <f>AVERAGE(C2:C21)</f>
        <v/>
      </c>
    </row>
    <row r="6">
      <c r="A6" s="3" t="n">
        <v>5</v>
      </c>
      <c r="B6" s="3" t="inlineStr">
        <is>
          <t>2026-06-06</t>
        </is>
      </c>
      <c r="C6" s="4" t="n">
        <v>1858.03369140625</v>
      </c>
      <c r="E6" s="5" t="inlineStr">
        <is>
          <t>Nilai Tengah (Median / Me)</t>
        </is>
      </c>
      <c r="F6" s="7">
        <f>MEDIAN(C2:C21)</f>
        <v/>
      </c>
    </row>
    <row r="7">
      <c r="A7" s="3" t="n">
        <v>6</v>
      </c>
      <c r="B7" s="3" t="inlineStr">
        <is>
          <t>2026-06-07</t>
        </is>
      </c>
      <c r="C7" s="4" t="n">
        <v>1821.64208984375</v>
      </c>
      <c r="E7" s="5" t="inlineStr">
        <is>
          <t>Variansi Sampel (s^2)</t>
        </is>
      </c>
      <c r="F7" s="7">
        <f>VAR(C2:C21)</f>
        <v/>
      </c>
    </row>
    <row r="8">
      <c r="A8" s="3" t="n">
        <v>7</v>
      </c>
      <c r="B8" s="3" t="inlineStr">
        <is>
          <t>2026-06-08</t>
        </is>
      </c>
      <c r="C8" s="4" t="n">
        <v>1885.528198242188</v>
      </c>
      <c r="E8" s="5" t="inlineStr">
        <is>
          <t>Standar Deviasi Sampel (s)</t>
        </is>
      </c>
      <c r="F8" s="7">
        <f>STDEV(C2:C21)</f>
        <v/>
      </c>
    </row>
    <row r="9">
      <c r="A9" s="3" t="n">
        <v>8</v>
      </c>
      <c r="B9" s="3" t="inlineStr">
        <is>
          <t>2026-06-11</t>
        </is>
      </c>
      <c r="C9" s="4" t="n">
        <v>1905.384399414062</v>
      </c>
      <c r="E9" s="5" t="inlineStr">
        <is>
          <t>Kemiringan (Skewness / S_k)</t>
        </is>
      </c>
      <c r="F9" s="7">
        <f>SKEW(C2:C21)</f>
        <v/>
      </c>
    </row>
    <row r="10">
      <c r="A10" s="3" t="n">
        <v>9</v>
      </c>
      <c r="B10" s="3" t="inlineStr">
        <is>
          <t>2026-06-18</t>
        </is>
      </c>
      <c r="C10" s="4" t="n">
        <v>1845.876220703125</v>
      </c>
      <c r="E10" s="5" t="inlineStr">
        <is>
          <t>Keruncingan (Kurtosis / K)</t>
        </is>
      </c>
      <c r="F10" s="7">
        <f>KURT(C2:C21)</f>
        <v/>
      </c>
    </row>
    <row r="11">
      <c r="A11" s="3" t="n">
        <v>10</v>
      </c>
      <c r="B11" s="3" t="inlineStr">
        <is>
          <t>2026-06-19</t>
        </is>
      </c>
      <c r="C11" s="4" t="n">
        <v>1889.634033203125</v>
      </c>
      <c r="E11" s="5" t="inlineStr">
        <is>
          <t>Konstanta Pengali Sturges (c = 1 / log10(2))</t>
        </is>
      </c>
      <c r="F11" s="8" t="n">
        <v>3.322</v>
      </c>
    </row>
    <row r="12">
      <c r="A12" s="3" t="n">
        <v>11</v>
      </c>
      <c r="B12" s="3" t="inlineStr">
        <is>
          <t>2026-06-28</t>
        </is>
      </c>
      <c r="C12" s="4" t="n">
        <v>1907.527465820312</v>
      </c>
      <c r="E12" s="5" t="inlineStr">
        <is>
          <t>Jumlah Kelas Sturges (k)</t>
        </is>
      </c>
      <c r="F12" s="9">
        <f>1+F11*LOG10(F2)</f>
        <v/>
      </c>
    </row>
    <row r="13">
      <c r="A13" s="3" t="n">
        <v>12</v>
      </c>
      <c r="B13" s="3" t="inlineStr">
        <is>
          <t>2026-06-29</t>
        </is>
      </c>
      <c r="C13" s="4" t="n">
        <v>1901.611938476562</v>
      </c>
      <c r="E13" s="5" t="inlineStr">
        <is>
          <t>Lebar Kelas Interval (W)</t>
        </is>
      </c>
      <c r="F13" s="7">
        <f>(F4-F3)/F12</f>
        <v/>
      </c>
    </row>
    <row r="14">
      <c r="A14" s="3" t="n">
        <v>13</v>
      </c>
      <c r="B14" s="3" t="inlineStr">
        <is>
          <t>2026-06-30</t>
        </is>
      </c>
      <c r="C14" s="4" t="n">
        <v>1910.422668457031</v>
      </c>
    </row>
    <row r="15">
      <c r="A15" s="3" t="n">
        <v>14</v>
      </c>
      <c r="B15" s="3" t="inlineStr">
        <is>
          <t>2026-07-08</t>
        </is>
      </c>
      <c r="C15" s="4" t="n">
        <v>1887.8681640625</v>
      </c>
      <c r="E15" s="10" t="inlineStr">
        <is>
          <t>* Catatan Informasi Sturges Rule:</t>
        </is>
      </c>
    </row>
    <row r="16">
      <c r="A16" s="3" t="n">
        <v>15</v>
      </c>
      <c r="B16" s="3" t="inlineStr">
        <is>
          <t>2026-07-09</t>
        </is>
      </c>
      <c r="C16" s="4" t="n">
        <v>1891.08056640625</v>
      </c>
      <c r="E16" s="11" t="inlineStr">
        <is>
          <t>1. Sel F11 memuat nilai terbuka Konstanta Pengali Sturges (c = 3.322 = 1 / log10(2)).
2. Sel F12 menghitung Jumlah Kelas Sturges k = 1 + F11 * LOG10(N) secara otomatis dengan mengacu pada Sel F11 (Konstanta c) dan Sel F2 (Data Valid N).</t>
        </is>
      </c>
    </row>
    <row r="17">
      <c r="A17" s="3" t="n">
        <v>16</v>
      </c>
      <c r="B17" s="3" t="inlineStr">
        <is>
          <t>2026-07-10</t>
        </is>
      </c>
      <c r="C17" s="4" t="n">
        <v>1916.421264648437</v>
      </c>
    </row>
    <row r="18">
      <c r="A18" s="3" t="n">
        <v>17</v>
      </c>
      <c r="B18" s="3" t="inlineStr">
        <is>
          <t>2026-07-24</t>
        </is>
      </c>
      <c r="C18" s="4" t="n">
        <v>1890.428100585937</v>
      </c>
    </row>
    <row r="19">
      <c r="A19" s="3" t="n">
        <v>18</v>
      </c>
      <c r="B19" s="3" t="inlineStr">
        <is>
          <t>2026-07-25</t>
        </is>
      </c>
      <c r="C19" s="4" t="n">
        <v>1908.77392578125</v>
      </c>
    </row>
    <row r="20">
      <c r="A20" s="3" t="n">
        <v>19</v>
      </c>
      <c r="B20" s="3" t="inlineStr">
        <is>
          <t>2026-07-26</t>
        </is>
      </c>
      <c r="C20" s="4" t="n">
        <v>1914.590637207031</v>
      </c>
    </row>
    <row r="21">
      <c r="A21" s="3" t="n">
        <v>20</v>
      </c>
      <c r="B21" s="3" t="inlineStr">
        <is>
          <t>2026-08-17</t>
        </is>
      </c>
      <c r="C21" s="4" t="n">
        <v>1891.769348144531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5" customWidth="1" min="4" max="4"/>
    <col width="46" customWidth="1" min="5" max="5"/>
    <col width="26" customWidth="1" min="6" max="6"/>
  </cols>
  <sheetData>
    <row r="1">
      <c r="A1" s="1" t="inlineStr">
        <is>
          <t>No</t>
        </is>
      </c>
      <c r="B1" s="1" t="inlineStr">
        <is>
          <t>Tanggal (Date)</t>
        </is>
      </c>
      <c r="C1" s="1" t="inlineStr">
        <is>
          <t>Konsentrasi CO</t>
        </is>
      </c>
      <c r="E1" s="2" t="inlineStr">
        <is>
          <t>Indikator Statistik Deskriptif</t>
        </is>
      </c>
      <c r="F1" s="2" t="inlineStr">
        <is>
          <t>Hasil Hitungan Excel</t>
        </is>
      </c>
    </row>
    <row r="2">
      <c r="A2" s="3" t="n">
        <v>1</v>
      </c>
      <c r="B2" s="3" t="inlineStr">
        <is>
          <t>2025-08-24</t>
        </is>
      </c>
      <c r="C2" s="12" t="n">
        <v>0.0312507012858986</v>
      </c>
      <c r="E2" s="5" t="inlineStr">
        <is>
          <t>Banyaknya Data Valid (N)</t>
        </is>
      </c>
      <c r="F2" s="6">
        <f>COUNT(C2:C193)</f>
        <v/>
      </c>
    </row>
    <row r="3">
      <c r="A3" s="3" t="n">
        <v>2</v>
      </c>
      <c r="B3" s="3" t="inlineStr">
        <is>
          <t>2025-08-25</t>
        </is>
      </c>
      <c r="C3" s="12" t="n">
        <v>0.0346005223691463</v>
      </c>
      <c r="E3" s="5" t="inlineStr">
        <is>
          <t>Minimum (Min)</t>
        </is>
      </c>
      <c r="F3" s="13">
        <f>MIN(C2:C193)</f>
        <v/>
      </c>
    </row>
    <row r="4">
      <c r="A4" s="3" t="n">
        <v>3</v>
      </c>
      <c r="B4" s="3" t="inlineStr">
        <is>
          <t>2025-08-27</t>
        </is>
      </c>
      <c r="C4" s="12" t="n">
        <v>0.0287107666954398</v>
      </c>
      <c r="E4" s="5" t="inlineStr">
        <is>
          <t>Maksimum (Max)</t>
        </is>
      </c>
      <c r="F4" s="13">
        <f>MAX(C2:C193)</f>
        <v/>
      </c>
    </row>
    <row r="5">
      <c r="A5" s="3" t="n">
        <v>4</v>
      </c>
      <c r="B5" s="3" t="inlineStr">
        <is>
          <t>2025-08-28</t>
        </is>
      </c>
      <c r="C5" s="12" t="n">
        <v>0.0289902500808239</v>
      </c>
      <c r="E5" s="5" t="inlineStr">
        <is>
          <t>Rata-Rata (Mean / X_bar)</t>
        </is>
      </c>
      <c r="F5" s="13">
        <f>AVERAGE(C2:C193)</f>
        <v/>
      </c>
    </row>
    <row r="6">
      <c r="A6" s="3" t="n">
        <v>5</v>
      </c>
      <c r="B6" s="3" t="inlineStr">
        <is>
          <t>2025-08-29</t>
        </is>
      </c>
      <c r="C6" s="12" t="n">
        <v>0.0224999506026506</v>
      </c>
      <c r="E6" s="5" t="inlineStr">
        <is>
          <t>Nilai Tengah (Median / Me)</t>
        </is>
      </c>
      <c r="F6" s="13">
        <f>MEDIAN(C2:C193)</f>
        <v/>
      </c>
    </row>
    <row r="7">
      <c r="A7" s="3" t="n">
        <v>6</v>
      </c>
      <c r="B7" s="3" t="inlineStr">
        <is>
          <t>2025-08-30</t>
        </is>
      </c>
      <c r="C7" s="12" t="n">
        <v>0.0267550079151988</v>
      </c>
      <c r="E7" s="5" t="inlineStr">
        <is>
          <t>Variansi Sampel (s^2)</t>
        </is>
      </c>
      <c r="F7" s="13">
        <f>VAR(C2:C193)</f>
        <v/>
      </c>
    </row>
    <row r="8">
      <c r="A8" s="3" t="n">
        <v>7</v>
      </c>
      <c r="B8" s="3" t="inlineStr">
        <is>
          <t>2025-08-31</t>
        </is>
      </c>
      <c r="C8" s="12" t="n">
        <v>0.0294164642691612</v>
      </c>
      <c r="E8" s="5" t="inlineStr">
        <is>
          <t>Standar Deviasi Sampel (s)</t>
        </is>
      </c>
      <c r="F8" s="13">
        <f>STDEV(C2:C193)</f>
        <v/>
      </c>
    </row>
    <row r="9">
      <c r="A9" s="3" t="n">
        <v>8</v>
      </c>
      <c r="B9" s="3" t="inlineStr">
        <is>
          <t>2025-09-01</t>
        </is>
      </c>
      <c r="C9" s="12" t="n">
        <v>0.0248291082680225</v>
      </c>
      <c r="E9" s="5" t="inlineStr">
        <is>
          <t>Kemiringan (Skewness / S_k)</t>
        </is>
      </c>
      <c r="F9" s="13">
        <f>SKEW(C2:C193)</f>
        <v/>
      </c>
    </row>
    <row r="10">
      <c r="A10" s="3" t="n">
        <v>9</v>
      </c>
      <c r="B10" s="3" t="inlineStr">
        <is>
          <t>2025-09-02</t>
        </is>
      </c>
      <c r="C10" s="12" t="n">
        <v>0.0237908940762281</v>
      </c>
      <c r="E10" s="5" t="inlineStr">
        <is>
          <t>Keruncingan (Kurtosis / K)</t>
        </is>
      </c>
      <c r="F10" s="13">
        <f>KURT(C2:C193)</f>
        <v/>
      </c>
    </row>
    <row r="11">
      <c r="A11" s="3" t="n">
        <v>10</v>
      </c>
      <c r="B11" s="3" t="inlineStr">
        <is>
          <t>2025-09-03</t>
        </is>
      </c>
      <c r="C11" s="12" t="n">
        <v>0.024791301228106</v>
      </c>
      <c r="E11" s="5" t="inlineStr">
        <is>
          <t>Konstanta Pengali Sturges (c = 1 / log10(2))</t>
        </is>
      </c>
      <c r="F11" s="8" t="n">
        <v>3.322</v>
      </c>
    </row>
    <row r="12">
      <c r="A12" s="3" t="n">
        <v>11</v>
      </c>
      <c r="B12" s="3" t="inlineStr">
        <is>
          <t>2025-09-04</t>
        </is>
      </c>
      <c r="C12" s="12" t="n">
        <v>0.02448570728302</v>
      </c>
      <c r="E12" s="5" t="inlineStr">
        <is>
          <t>Jumlah Kelas Sturges (k)</t>
        </is>
      </c>
      <c r="F12" s="9">
        <f>1+F11*LOG10(F2)</f>
        <v/>
      </c>
    </row>
    <row r="13">
      <c r="A13" s="3" t="n">
        <v>12</v>
      </c>
      <c r="B13" s="3" t="inlineStr">
        <is>
          <t>2025-09-05</t>
        </is>
      </c>
      <c r="C13" s="12" t="n">
        <v>0.0327544845640659</v>
      </c>
      <c r="E13" s="5" t="inlineStr">
        <is>
          <t>Lebar Kelas Interval (W)</t>
        </is>
      </c>
      <c r="F13" s="13">
        <f>(F4-F3)/F12</f>
        <v/>
      </c>
    </row>
    <row r="14">
      <c r="A14" s="3" t="n">
        <v>13</v>
      </c>
      <c r="B14" s="3" t="inlineStr">
        <is>
          <t>2025-09-06</t>
        </is>
      </c>
      <c r="C14" s="12" t="n">
        <v>0.0293669663369655</v>
      </c>
    </row>
    <row r="15">
      <c r="A15" s="3" t="n">
        <v>14</v>
      </c>
      <c r="B15" s="3" t="inlineStr">
        <is>
          <t>2025-09-09</t>
        </is>
      </c>
      <c r="C15" s="12" t="n">
        <v>0.0253326641395688</v>
      </c>
      <c r="E15" s="10" t="inlineStr">
        <is>
          <t>* Catatan Informasi Sturges Rule:</t>
        </is>
      </c>
    </row>
    <row r="16">
      <c r="A16" s="3" t="n">
        <v>15</v>
      </c>
      <c r="B16" s="3" t="inlineStr">
        <is>
          <t>2025-09-10</t>
        </is>
      </c>
      <c r="C16" s="12" t="n">
        <v>0.0238858759403228</v>
      </c>
      <c r="E16" s="11" t="inlineStr">
        <is>
          <t>1. Sel F11 memuat nilai terbuka Konstanta Pengali Sturges (c = 3.322 = 1 / log10(2)).
2. Sel F12 menghitung Jumlah Kelas Sturges k = 1 + F11 * LOG10(N) secara otomatis dengan mengacu pada Sel F11 (Konstanta c) dan Sel F2 (Data Valid N).</t>
        </is>
      </c>
    </row>
    <row r="17">
      <c r="A17" s="3" t="n">
        <v>16</v>
      </c>
      <c r="B17" s="3" t="inlineStr">
        <is>
          <t>2025-09-12</t>
        </is>
      </c>
      <c r="C17" s="12" t="n">
        <v>0.0291993841528892</v>
      </c>
    </row>
    <row r="18">
      <c r="A18" s="3" t="n">
        <v>17</v>
      </c>
      <c r="B18" s="3" t="inlineStr">
        <is>
          <t>2025-09-13</t>
        </is>
      </c>
      <c r="C18" s="12" t="n">
        <v>0.028933129273355</v>
      </c>
    </row>
    <row r="19">
      <c r="A19" s="3" t="n">
        <v>18</v>
      </c>
      <c r="B19" s="3" t="inlineStr">
        <is>
          <t>2025-09-14</t>
        </is>
      </c>
      <c r="C19" s="12" t="n">
        <v>0.0173613671213388</v>
      </c>
    </row>
    <row r="20">
      <c r="A20" s="3" t="n">
        <v>19</v>
      </c>
      <c r="B20" s="3" t="inlineStr">
        <is>
          <t>2025-09-16</t>
        </is>
      </c>
      <c r="C20" s="12" t="n">
        <v>0.0289627611637115</v>
      </c>
    </row>
    <row r="21">
      <c r="A21" s="3" t="n">
        <v>20</v>
      </c>
      <c r="B21" s="3" t="inlineStr">
        <is>
          <t>2025-09-18</t>
        </is>
      </c>
      <c r="C21" s="12" t="n">
        <v>0.0265345685184001</v>
      </c>
    </row>
    <row r="22">
      <c r="A22" s="3" t="n">
        <v>21</v>
      </c>
      <c r="B22" s="3" t="inlineStr">
        <is>
          <t>2025-09-19</t>
        </is>
      </c>
      <c r="C22" s="12" t="n">
        <v>0.0250565484166145</v>
      </c>
    </row>
    <row r="23">
      <c r="A23" s="3" t="n">
        <v>22</v>
      </c>
      <c r="B23" s="3" t="inlineStr">
        <is>
          <t>2025-09-20</t>
        </is>
      </c>
      <c r="C23" s="12" t="n">
        <v>0.0260543450713157</v>
      </c>
    </row>
    <row r="24">
      <c r="A24" s="3" t="n">
        <v>23</v>
      </c>
      <c r="B24" s="3" t="inlineStr">
        <is>
          <t>2025-09-21</t>
        </is>
      </c>
      <c r="C24" s="12" t="n">
        <v>0.0290251951664686</v>
      </c>
    </row>
    <row r="25">
      <c r="A25" s="3" t="n">
        <v>24</v>
      </c>
      <c r="B25" s="3" t="inlineStr">
        <is>
          <t>2025-09-23</t>
        </is>
      </c>
      <c r="C25" s="12" t="n">
        <v>0.0323427189141511</v>
      </c>
    </row>
    <row r="26">
      <c r="A26" s="3" t="n">
        <v>25</v>
      </c>
      <c r="B26" s="3" t="inlineStr">
        <is>
          <t>2025-09-24</t>
        </is>
      </c>
      <c r="C26" s="12" t="n">
        <v>0.0416420474648475</v>
      </c>
    </row>
    <row r="27">
      <c r="A27" s="3" t="n">
        <v>26</v>
      </c>
      <c r="B27" s="3" t="inlineStr">
        <is>
          <t>2025-09-25</t>
        </is>
      </c>
      <c r="C27" s="12" t="n">
        <v>0.026938964612782</v>
      </c>
    </row>
    <row r="28">
      <c r="A28" s="3" t="n">
        <v>27</v>
      </c>
      <c r="B28" s="3" t="inlineStr">
        <is>
          <t>2025-09-27</t>
        </is>
      </c>
      <c r="C28" s="12" t="n">
        <v>0.0344845112413167</v>
      </c>
    </row>
    <row r="29">
      <c r="A29" s="3" t="n">
        <v>28</v>
      </c>
      <c r="B29" s="3" t="inlineStr">
        <is>
          <t>2025-09-28</t>
        </is>
      </c>
      <c r="C29" s="12" t="n">
        <v>0.0339418202638626</v>
      </c>
    </row>
    <row r="30">
      <c r="A30" s="3" t="n">
        <v>29</v>
      </c>
      <c r="B30" s="3" t="inlineStr">
        <is>
          <t>2025-09-29</t>
        </is>
      </c>
      <c r="C30" s="12" t="n">
        <v>0.0287176994606852</v>
      </c>
    </row>
    <row r="31">
      <c r="A31" s="3" t="n">
        <v>30</v>
      </c>
      <c r="B31" s="3" t="inlineStr">
        <is>
          <t>2025-10-03</t>
        </is>
      </c>
      <c r="C31" s="12" t="n">
        <v>0.0351356752216815</v>
      </c>
    </row>
    <row r="32">
      <c r="A32" s="3" t="n">
        <v>31</v>
      </c>
      <c r="B32" s="3" t="inlineStr">
        <is>
          <t>2025-10-04</t>
        </is>
      </c>
      <c r="C32" s="12" t="n">
        <v>0.0315378308296203</v>
      </c>
    </row>
    <row r="33">
      <c r="A33" s="3" t="n">
        <v>32</v>
      </c>
      <c r="B33" s="3" t="inlineStr">
        <is>
          <t>2025-10-05</t>
        </is>
      </c>
      <c r="C33" s="12" t="n">
        <v>0.0319096948951482</v>
      </c>
    </row>
    <row r="34">
      <c r="A34" s="3" t="n">
        <v>33</v>
      </c>
      <c r="B34" s="3" t="inlineStr">
        <is>
          <t>2025-10-06</t>
        </is>
      </c>
      <c r="C34" s="12" t="n">
        <v>0.0341575145721435</v>
      </c>
    </row>
    <row r="35">
      <c r="A35" s="3" t="n">
        <v>34</v>
      </c>
      <c r="B35" s="3" t="inlineStr">
        <is>
          <t>2025-10-08</t>
        </is>
      </c>
      <c r="C35" s="12" t="n">
        <v>0.0391120836138725</v>
      </c>
    </row>
    <row r="36">
      <c r="A36" s="3" t="n">
        <v>35</v>
      </c>
      <c r="B36" s="3" t="inlineStr">
        <is>
          <t>2025-10-09</t>
        </is>
      </c>
      <c r="C36" s="12" t="n">
        <v>0.0452368482947349</v>
      </c>
    </row>
    <row r="37">
      <c r="A37" s="3" t="n">
        <v>36</v>
      </c>
      <c r="B37" s="3" t="inlineStr">
        <is>
          <t>2025-10-10</t>
        </is>
      </c>
      <c r="C37" s="12" t="n">
        <v>0.0361420530825853</v>
      </c>
    </row>
    <row r="38">
      <c r="A38" s="3" t="n">
        <v>37</v>
      </c>
      <c r="B38" s="3" t="inlineStr">
        <is>
          <t>2025-10-11</t>
        </is>
      </c>
      <c r="C38" s="12" t="n">
        <v>0.0328002478927373</v>
      </c>
    </row>
    <row r="39">
      <c r="A39" s="3" t="n">
        <v>38</v>
      </c>
      <c r="B39" s="3" t="inlineStr">
        <is>
          <t>2025-10-14</t>
        </is>
      </c>
      <c r="C39" s="12" t="n">
        <v>0.0288797691464424</v>
      </c>
    </row>
    <row r="40">
      <c r="A40" s="3" t="n">
        <v>39</v>
      </c>
      <c r="B40" s="3" t="inlineStr">
        <is>
          <t>2025-10-15</t>
        </is>
      </c>
      <c r="C40" s="12" t="n">
        <v>0.0249101743102073</v>
      </c>
    </row>
    <row r="41">
      <c r="A41" s="3" t="n">
        <v>40</v>
      </c>
      <c r="B41" s="3" t="inlineStr">
        <is>
          <t>2025-10-16</t>
        </is>
      </c>
      <c r="C41" s="12" t="n">
        <v>0.0299189528450369</v>
      </c>
    </row>
    <row r="42">
      <c r="A42" s="3" t="n">
        <v>41</v>
      </c>
      <c r="B42" s="3" t="inlineStr">
        <is>
          <t>2025-10-17</t>
        </is>
      </c>
      <c r="C42" s="12" t="n">
        <v>0.0299520352855324</v>
      </c>
    </row>
    <row r="43">
      <c r="A43" s="3" t="n">
        <v>42</v>
      </c>
      <c r="B43" s="3" t="inlineStr">
        <is>
          <t>2025-10-19</t>
        </is>
      </c>
      <c r="C43" s="12" t="n">
        <v>0.0311715137213468</v>
      </c>
    </row>
    <row r="44">
      <c r="A44" s="3" t="n">
        <v>43</v>
      </c>
      <c r="B44" s="3" t="inlineStr">
        <is>
          <t>2025-10-25</t>
        </is>
      </c>
      <c r="C44" s="12" t="n">
        <v>0.0323414988815784</v>
      </c>
    </row>
    <row r="45">
      <c r="A45" s="3" t="n">
        <v>44</v>
      </c>
      <c r="B45" s="3" t="inlineStr">
        <is>
          <t>2025-10-26</t>
        </is>
      </c>
      <c r="C45" s="12" t="n">
        <v>0.0304763074964284</v>
      </c>
    </row>
    <row r="46">
      <c r="A46" s="3" t="n">
        <v>45</v>
      </c>
      <c r="B46" s="3" t="inlineStr">
        <is>
          <t>2025-11-05</t>
        </is>
      </c>
      <c r="C46" s="12" t="n">
        <v>0.0266169942915439</v>
      </c>
    </row>
    <row r="47">
      <c r="A47" s="3" t="n">
        <v>46</v>
      </c>
      <c r="B47" s="3" t="inlineStr">
        <is>
          <t>2025-11-07</t>
        </is>
      </c>
      <c r="C47" s="12" t="n">
        <v>0.0283196959644556</v>
      </c>
    </row>
    <row r="48">
      <c r="A48" s="3" t="n">
        <v>47</v>
      </c>
      <c r="B48" s="3" t="inlineStr">
        <is>
          <t>2025-11-10</t>
        </is>
      </c>
      <c r="C48" s="12" t="n">
        <v>0.0320663936436176</v>
      </c>
    </row>
    <row r="49">
      <c r="A49" s="3" t="n">
        <v>48</v>
      </c>
      <c r="B49" s="3" t="inlineStr">
        <is>
          <t>2025-11-11</t>
        </is>
      </c>
      <c r="C49" s="12" t="n">
        <v>0.0273030549287796</v>
      </c>
    </row>
    <row r="50">
      <c r="A50" s="3" t="n">
        <v>49</v>
      </c>
      <c r="B50" s="3" t="inlineStr">
        <is>
          <t>2025-11-20</t>
        </is>
      </c>
      <c r="C50" s="12" t="n">
        <v>0.0305499471724033</v>
      </c>
    </row>
    <row r="51">
      <c r="A51" s="3" t="n">
        <v>50</v>
      </c>
      <c r="B51" s="3" t="inlineStr">
        <is>
          <t>2025-11-25</t>
        </is>
      </c>
      <c r="C51" s="12" t="n">
        <v>0.027670968323946</v>
      </c>
    </row>
    <row r="52">
      <c r="A52" s="3" t="n">
        <v>51</v>
      </c>
      <c r="B52" s="3" t="inlineStr">
        <is>
          <t>2025-12-02</t>
        </is>
      </c>
      <c r="C52" s="12" t="n">
        <v>0.0298393666744232</v>
      </c>
    </row>
    <row r="53">
      <c r="A53" s="3" t="n">
        <v>52</v>
      </c>
      <c r="B53" s="3" t="inlineStr">
        <is>
          <t>2025-12-03</t>
        </is>
      </c>
      <c r="C53" s="12" t="n">
        <v>0.0249180924147367</v>
      </c>
    </row>
    <row r="54">
      <c r="A54" s="3" t="n">
        <v>53</v>
      </c>
      <c r="B54" s="3" t="inlineStr">
        <is>
          <t>2025-12-07</t>
        </is>
      </c>
      <c r="C54" s="12" t="n">
        <v>0.0265148449689149</v>
      </c>
    </row>
    <row r="55">
      <c r="A55" s="3" t="n">
        <v>54</v>
      </c>
      <c r="B55" s="3" t="inlineStr">
        <is>
          <t>2025-12-08</t>
        </is>
      </c>
      <c r="C55" s="12" t="n">
        <v>0.0277734315022826</v>
      </c>
    </row>
    <row r="56">
      <c r="A56" s="3" t="n">
        <v>55</v>
      </c>
      <c r="B56" s="3" t="inlineStr">
        <is>
          <t>2025-12-14</t>
        </is>
      </c>
      <c r="C56" s="12" t="n">
        <v>0.0267466502264142</v>
      </c>
    </row>
    <row r="57">
      <c r="A57" s="3" t="n">
        <v>56</v>
      </c>
      <c r="B57" s="3" t="inlineStr">
        <is>
          <t>2025-12-17</t>
        </is>
      </c>
      <c r="C57" s="12" t="n">
        <v>0.0268553225323557</v>
      </c>
    </row>
    <row r="58">
      <c r="A58" s="3" t="n">
        <v>57</v>
      </c>
      <c r="B58" s="3" t="inlineStr">
        <is>
          <t>2025-12-23</t>
        </is>
      </c>
      <c r="C58" s="12" t="n">
        <v>0.0302933286875486</v>
      </c>
    </row>
    <row r="59">
      <c r="A59" s="3" t="n">
        <v>58</v>
      </c>
      <c r="B59" s="3" t="inlineStr">
        <is>
          <t>2025-12-24</t>
        </is>
      </c>
      <c r="C59" s="12" t="n">
        <v>0.0283041130751371</v>
      </c>
    </row>
    <row r="60">
      <c r="A60" s="3" t="n">
        <v>59</v>
      </c>
      <c r="B60" s="3" t="inlineStr">
        <is>
          <t>2025-12-25</t>
        </is>
      </c>
      <c r="C60" s="12" t="n">
        <v>0.0333052389323711</v>
      </c>
    </row>
    <row r="61">
      <c r="A61" s="3" t="n">
        <v>60</v>
      </c>
      <c r="B61" s="3" t="inlineStr">
        <is>
          <t>2025-12-29</t>
        </is>
      </c>
      <c r="C61" s="12" t="n">
        <v>0.0261980425566434</v>
      </c>
    </row>
    <row r="62">
      <c r="A62" s="3" t="n">
        <v>61</v>
      </c>
      <c r="B62" s="3" t="inlineStr">
        <is>
          <t>2026-01-03</t>
        </is>
      </c>
      <c r="C62" s="12" t="n">
        <v>0.0273624900728464</v>
      </c>
    </row>
    <row r="63">
      <c r="A63" s="3" t="n">
        <v>62</v>
      </c>
      <c r="B63" s="3" t="inlineStr">
        <is>
          <t>2026-01-19</t>
        </is>
      </c>
      <c r="C63" s="12" t="n">
        <v>0.0298720886930823</v>
      </c>
    </row>
    <row r="64">
      <c r="A64" s="3" t="n">
        <v>63</v>
      </c>
      <c r="B64" s="3" t="inlineStr">
        <is>
          <t>2026-01-21</t>
        </is>
      </c>
      <c r="C64" s="12" t="n">
        <v>0.0232670214027166</v>
      </c>
    </row>
    <row r="65">
      <c r="A65" s="3" t="n">
        <v>64</v>
      </c>
      <c r="B65" s="3" t="inlineStr">
        <is>
          <t>2026-01-25</t>
        </is>
      </c>
      <c r="C65" s="12" t="n">
        <v>0.0323699964210391</v>
      </c>
    </row>
    <row r="66">
      <c r="A66" s="3" t="n">
        <v>65</v>
      </c>
      <c r="B66" s="3" t="inlineStr">
        <is>
          <t>2026-01-29</t>
        </is>
      </c>
      <c r="C66" s="12" t="n">
        <v>0.0268322639167308</v>
      </c>
    </row>
    <row r="67">
      <c r="A67" s="3" t="n">
        <v>66</v>
      </c>
      <c r="B67" s="3" t="inlineStr">
        <is>
          <t>2026-01-30</t>
        </is>
      </c>
      <c r="C67" s="12" t="n">
        <v>0.0309841847047209</v>
      </c>
    </row>
    <row r="68">
      <c r="A68" s="3" t="n">
        <v>67</v>
      </c>
      <c r="B68" s="3" t="inlineStr">
        <is>
          <t>2026-01-31</t>
        </is>
      </c>
      <c r="C68" s="12" t="n">
        <v>0.0300982166081666</v>
      </c>
    </row>
    <row r="69">
      <c r="A69" s="3" t="n">
        <v>68</v>
      </c>
      <c r="B69" s="3" t="inlineStr">
        <is>
          <t>2026-02-01</t>
        </is>
      </c>
      <c r="C69" s="12" t="n">
        <v>0.0358776226639747</v>
      </c>
    </row>
    <row r="70">
      <c r="A70" s="3" t="n">
        <v>69</v>
      </c>
      <c r="B70" s="3" t="inlineStr">
        <is>
          <t>2026-02-02</t>
        </is>
      </c>
      <c r="C70" s="12" t="n">
        <v>0.0334665700793266</v>
      </c>
    </row>
    <row r="71">
      <c r="A71" s="3" t="n">
        <v>70</v>
      </c>
      <c r="B71" s="3" t="inlineStr">
        <is>
          <t>2026-02-03</t>
        </is>
      </c>
      <c r="C71" s="12" t="n">
        <v>0.0350908301770687</v>
      </c>
    </row>
    <row r="72">
      <c r="A72" s="3" t="n">
        <v>71</v>
      </c>
      <c r="B72" s="3" t="inlineStr">
        <is>
          <t>2026-02-04</t>
        </is>
      </c>
      <c r="C72" s="12" t="n">
        <v>0.0305193550884723</v>
      </c>
    </row>
    <row r="73">
      <c r="A73" s="3" t="n">
        <v>72</v>
      </c>
      <c r="B73" s="3" t="inlineStr">
        <is>
          <t>2026-02-06</t>
        </is>
      </c>
      <c r="C73" s="12" t="n">
        <v>0.0307379085570573</v>
      </c>
    </row>
    <row r="74">
      <c r="A74" s="3" t="n">
        <v>73</v>
      </c>
      <c r="B74" s="3" t="inlineStr">
        <is>
          <t>2026-02-12</t>
        </is>
      </c>
      <c r="C74" s="12" t="n">
        <v>0.0306758377701044</v>
      </c>
    </row>
    <row r="75">
      <c r="A75" s="3" t="n">
        <v>74</v>
      </c>
      <c r="B75" s="3" t="inlineStr">
        <is>
          <t>2026-02-15</t>
        </is>
      </c>
      <c r="C75" s="12" t="n">
        <v>0.0303588658571243</v>
      </c>
    </row>
    <row r="76">
      <c r="A76" s="3" t="n">
        <v>75</v>
      </c>
      <c r="B76" s="3" t="inlineStr">
        <is>
          <t>2026-02-27</t>
        </is>
      </c>
      <c r="C76" s="12" t="n">
        <v>0.0257135760039091</v>
      </c>
    </row>
    <row r="77">
      <c r="A77" s="3" t="n">
        <v>76</v>
      </c>
      <c r="B77" s="3" t="inlineStr">
        <is>
          <t>2026-03-05</t>
        </is>
      </c>
      <c r="C77" s="12" t="n">
        <v>0.0296121211722493</v>
      </c>
    </row>
    <row r="78">
      <c r="A78" s="3" t="n">
        <v>77</v>
      </c>
      <c r="B78" s="3" t="inlineStr">
        <is>
          <t>2026-03-07</t>
        </is>
      </c>
      <c r="C78" s="12" t="n">
        <v>0.0282185915857553</v>
      </c>
    </row>
    <row r="79">
      <c r="A79" s="3" t="n">
        <v>78</v>
      </c>
      <c r="B79" s="3" t="inlineStr">
        <is>
          <t>2026-03-08</t>
        </is>
      </c>
      <c r="C79" s="12" t="n">
        <v>0.0265503469854593</v>
      </c>
    </row>
    <row r="80">
      <c r="A80" s="3" t="n">
        <v>79</v>
      </c>
      <c r="B80" s="3" t="inlineStr">
        <is>
          <t>2026-03-09</t>
        </is>
      </c>
      <c r="C80" s="12" t="n">
        <v>0.0355467051267623</v>
      </c>
    </row>
    <row r="81">
      <c r="A81" s="3" t="n">
        <v>80</v>
      </c>
      <c r="B81" s="3" t="inlineStr">
        <is>
          <t>2026-03-12</t>
        </is>
      </c>
      <c r="C81" s="12" t="n">
        <v>0.0306013207882642</v>
      </c>
    </row>
    <row r="82">
      <c r="A82" s="3" t="n">
        <v>81</v>
      </c>
      <c r="B82" s="3" t="inlineStr">
        <is>
          <t>2026-03-13</t>
        </is>
      </c>
      <c r="C82" s="12" t="n">
        <v>0.0348505973815918</v>
      </c>
    </row>
    <row r="83">
      <c r="A83" s="3" t="n">
        <v>82</v>
      </c>
      <c r="B83" s="3" t="inlineStr">
        <is>
          <t>2026-03-14</t>
        </is>
      </c>
      <c r="C83" s="12" t="n">
        <v>0.029612585902214</v>
      </c>
    </row>
    <row r="84">
      <c r="A84" s="3" t="n">
        <v>83</v>
      </c>
      <c r="B84" s="3" t="inlineStr">
        <is>
          <t>2026-03-15</t>
        </is>
      </c>
      <c r="C84" s="12" t="n">
        <v>0.0298112239688634</v>
      </c>
    </row>
    <row r="85">
      <c r="A85" s="3" t="n">
        <v>84</v>
      </c>
      <c r="B85" s="3" t="inlineStr">
        <is>
          <t>2026-03-16</t>
        </is>
      </c>
      <c r="C85" s="12" t="n">
        <v>0.0300859604030847</v>
      </c>
    </row>
    <row r="86">
      <c r="A86" s="3" t="n">
        <v>85</v>
      </c>
      <c r="B86" s="3" t="inlineStr">
        <is>
          <t>2026-03-18</t>
        </is>
      </c>
      <c r="C86" s="12" t="n">
        <v>0.0257538706064224</v>
      </c>
    </row>
    <row r="87">
      <c r="A87" s="3" t="n">
        <v>86</v>
      </c>
      <c r="B87" s="3" t="inlineStr">
        <is>
          <t>2026-03-19</t>
        </is>
      </c>
      <c r="C87" s="12" t="n">
        <v>0.0223160814493894</v>
      </c>
    </row>
    <row r="88">
      <c r="A88" s="3" t="n">
        <v>87</v>
      </c>
      <c r="B88" s="3" t="inlineStr">
        <is>
          <t>2026-03-23</t>
        </is>
      </c>
      <c r="C88" s="12" t="n">
        <v>0.0289335511624813</v>
      </c>
    </row>
    <row r="89">
      <c r="A89" s="3" t="n">
        <v>88</v>
      </c>
      <c r="B89" s="3" t="inlineStr">
        <is>
          <t>2026-03-25</t>
        </is>
      </c>
      <c r="C89" s="12" t="n">
        <v>0.0297464951872825</v>
      </c>
    </row>
    <row r="90">
      <c r="A90" s="3" t="n">
        <v>89</v>
      </c>
      <c r="B90" s="3" t="inlineStr">
        <is>
          <t>2026-03-26</t>
        </is>
      </c>
      <c r="C90" s="12" t="n">
        <v>0.0295436335727572</v>
      </c>
    </row>
    <row r="91">
      <c r="A91" s="3" t="n">
        <v>90</v>
      </c>
      <c r="B91" s="3" t="inlineStr">
        <is>
          <t>2026-03-29</t>
        </is>
      </c>
      <c r="C91" s="12" t="n">
        <v>0.0332730524241924</v>
      </c>
    </row>
    <row r="92">
      <c r="A92" s="3" t="n">
        <v>91</v>
      </c>
      <c r="B92" s="3" t="inlineStr">
        <is>
          <t>2026-04-01</t>
        </is>
      </c>
      <c r="C92" s="12" t="n">
        <v>0.0272989477962255</v>
      </c>
    </row>
    <row r="93">
      <c r="A93" s="3" t="n">
        <v>92</v>
      </c>
      <c r="B93" s="3" t="inlineStr">
        <is>
          <t>2026-04-05</t>
        </is>
      </c>
      <c r="C93" s="12" t="n">
        <v>0.0176208633929491</v>
      </c>
    </row>
    <row r="94">
      <c r="A94" s="3" t="n">
        <v>93</v>
      </c>
      <c r="B94" s="3" t="inlineStr">
        <is>
          <t>2026-04-08</t>
        </is>
      </c>
      <c r="C94" s="12" t="n">
        <v>0.0260839015245437</v>
      </c>
    </row>
    <row r="95">
      <c r="A95" s="3" t="n">
        <v>94</v>
      </c>
      <c r="B95" s="3" t="inlineStr">
        <is>
          <t>2026-04-13</t>
        </is>
      </c>
      <c r="C95" s="12" t="n">
        <v>0.0245355144143104</v>
      </c>
    </row>
    <row r="96">
      <c r="A96" s="3" t="n">
        <v>95</v>
      </c>
      <c r="B96" s="3" t="inlineStr">
        <is>
          <t>2026-04-14</t>
        </is>
      </c>
      <c r="C96" s="12" t="n">
        <v>0.0229658335447311</v>
      </c>
    </row>
    <row r="97">
      <c r="A97" s="3" t="n">
        <v>96</v>
      </c>
      <c r="B97" s="3" t="inlineStr">
        <is>
          <t>2026-04-15</t>
        </is>
      </c>
      <c r="C97" s="12" t="n">
        <v>0.0284785479307174</v>
      </c>
    </row>
    <row r="98">
      <c r="A98" s="3" t="n">
        <v>97</v>
      </c>
      <c r="B98" s="3" t="inlineStr">
        <is>
          <t>2026-04-16</t>
        </is>
      </c>
      <c r="C98" s="12" t="n">
        <v>0.025291321799159</v>
      </c>
    </row>
    <row r="99">
      <c r="A99" s="3" t="n">
        <v>98</v>
      </c>
      <c r="B99" s="3" t="inlineStr">
        <is>
          <t>2026-04-17</t>
        </is>
      </c>
      <c r="C99" s="12" t="n">
        <v>0.0290738390758633</v>
      </c>
    </row>
    <row r="100">
      <c r="A100" s="3" t="n">
        <v>99</v>
      </c>
      <c r="B100" s="3" t="inlineStr">
        <is>
          <t>2026-04-18</t>
        </is>
      </c>
      <c r="C100" s="12" t="n">
        <v>0.0296177398413419</v>
      </c>
    </row>
    <row r="101">
      <c r="A101" s="3" t="n">
        <v>100</v>
      </c>
      <c r="B101" s="3" t="inlineStr">
        <is>
          <t>2026-04-19</t>
        </is>
      </c>
      <c r="C101" s="12" t="n">
        <v>0.0246642297133803</v>
      </c>
    </row>
    <row r="102">
      <c r="A102" s="3" t="n">
        <v>101</v>
      </c>
      <c r="B102" s="3" t="inlineStr">
        <is>
          <t>2026-04-20</t>
        </is>
      </c>
      <c r="C102" s="12" t="n">
        <v>0.0310131842270493</v>
      </c>
    </row>
    <row r="103">
      <c r="A103" s="3" t="n">
        <v>102</v>
      </c>
      <c r="B103" s="3" t="inlineStr">
        <is>
          <t>2026-04-21</t>
        </is>
      </c>
      <c r="C103" s="12" t="n">
        <v>0.0223138546571135</v>
      </c>
    </row>
    <row r="104">
      <c r="A104" s="3" t="n">
        <v>103</v>
      </c>
      <c r="B104" s="3" t="inlineStr">
        <is>
          <t>2026-04-23</t>
        </is>
      </c>
      <c r="C104" s="12" t="n">
        <v>0.028834881260991</v>
      </c>
    </row>
    <row r="105">
      <c r="A105" s="3" t="n">
        <v>104</v>
      </c>
      <c r="B105" s="3" t="inlineStr">
        <is>
          <t>2026-04-24</t>
        </is>
      </c>
      <c r="C105" s="12" t="n">
        <v>0.0286059807986021</v>
      </c>
    </row>
    <row r="106">
      <c r="A106" s="3" t="n">
        <v>105</v>
      </c>
      <c r="B106" s="3" t="inlineStr">
        <is>
          <t>2026-04-25</t>
        </is>
      </c>
      <c r="C106" s="12" t="n">
        <v>0.0241372752934694</v>
      </c>
    </row>
    <row r="107">
      <c r="A107" s="3" t="n">
        <v>106</v>
      </c>
      <c r="B107" s="3" t="inlineStr">
        <is>
          <t>2026-04-26</t>
        </is>
      </c>
      <c r="C107" s="12" t="n">
        <v>0.025233382359147</v>
      </c>
    </row>
    <row r="108">
      <c r="A108" s="3" t="n">
        <v>107</v>
      </c>
      <c r="B108" s="3" t="inlineStr">
        <is>
          <t>2026-05-01</t>
        </is>
      </c>
      <c r="C108" s="12" t="n">
        <v>0.0266526741907</v>
      </c>
    </row>
    <row r="109">
      <c r="A109" s="3" t="n">
        <v>108</v>
      </c>
      <c r="B109" s="3" t="inlineStr">
        <is>
          <t>2026-05-05</t>
        </is>
      </c>
      <c r="C109" s="12" t="n">
        <v>0.0175921246409416</v>
      </c>
    </row>
    <row r="110">
      <c r="A110" s="3" t="n">
        <v>109</v>
      </c>
      <c r="B110" s="3" t="inlineStr">
        <is>
          <t>2026-05-06</t>
        </is>
      </c>
      <c r="C110" s="12" t="n">
        <v>0.0273957969620823</v>
      </c>
    </row>
    <row r="111">
      <c r="A111" s="3" t="n">
        <v>110</v>
      </c>
      <c r="B111" s="3" t="inlineStr">
        <is>
          <t>2026-05-07</t>
        </is>
      </c>
      <c r="C111" s="12" t="n">
        <v>0.0262835267931222</v>
      </c>
    </row>
    <row r="112">
      <c r="A112" s="3" t="n">
        <v>111</v>
      </c>
      <c r="B112" s="3" t="inlineStr">
        <is>
          <t>2026-05-10</t>
        </is>
      </c>
      <c r="C112" s="12" t="n">
        <v>0.0336588397622108</v>
      </c>
    </row>
    <row r="113">
      <c r="A113" s="3" t="n">
        <v>112</v>
      </c>
      <c r="B113" s="3" t="inlineStr">
        <is>
          <t>2026-05-11</t>
        </is>
      </c>
      <c r="C113" s="12" t="n">
        <v>0.0270367246121168</v>
      </c>
    </row>
    <row r="114">
      <c r="A114" s="3" t="n">
        <v>113</v>
      </c>
      <c r="B114" s="3" t="inlineStr">
        <is>
          <t>2026-05-12</t>
        </is>
      </c>
      <c r="C114" s="12" t="n">
        <v>0.016967823728919</v>
      </c>
    </row>
    <row r="115">
      <c r="A115" s="3" t="n">
        <v>114</v>
      </c>
      <c r="B115" s="3" t="inlineStr">
        <is>
          <t>2026-05-15</t>
        </is>
      </c>
      <c r="C115" s="12" t="n">
        <v>0.0254622194916009</v>
      </c>
    </row>
    <row r="116">
      <c r="A116" s="3" t="n">
        <v>115</v>
      </c>
      <c r="B116" s="3" t="inlineStr">
        <is>
          <t>2026-05-16</t>
        </is>
      </c>
      <c r="C116" s="12" t="n">
        <v>0.0264996252954006</v>
      </c>
    </row>
    <row r="117">
      <c r="A117" s="3" t="n">
        <v>116</v>
      </c>
      <c r="B117" s="3" t="inlineStr">
        <is>
          <t>2026-05-17</t>
        </is>
      </c>
      <c r="C117" s="12" t="n">
        <v>0.0294789196923375</v>
      </c>
    </row>
    <row r="118">
      <c r="A118" s="3" t="n">
        <v>117</v>
      </c>
      <c r="B118" s="3" t="inlineStr">
        <is>
          <t>2026-05-19</t>
        </is>
      </c>
      <c r="C118" s="12" t="n">
        <v>0.028471402823925</v>
      </c>
    </row>
    <row r="119">
      <c r="A119" s="3" t="n">
        <v>118</v>
      </c>
      <c r="B119" s="3" t="inlineStr">
        <is>
          <t>2026-05-22</t>
        </is>
      </c>
      <c r="C119" s="12" t="n">
        <v>0.0329275764524936</v>
      </c>
    </row>
    <row r="120">
      <c r="A120" s="3" t="n">
        <v>119</v>
      </c>
      <c r="B120" s="3" t="inlineStr">
        <is>
          <t>2026-05-23</t>
        </is>
      </c>
      <c r="C120" s="12" t="n">
        <v>0.0239152703434228</v>
      </c>
    </row>
    <row r="121">
      <c r="A121" s="3" t="n">
        <v>120</v>
      </c>
      <c r="B121" s="3" t="inlineStr">
        <is>
          <t>2026-05-25</t>
        </is>
      </c>
      <c r="C121" s="12" t="n">
        <v>0.0299801137298345</v>
      </c>
    </row>
    <row r="122">
      <c r="A122" s="3" t="n">
        <v>121</v>
      </c>
      <c r="B122" s="3" t="inlineStr">
        <is>
          <t>2026-05-27</t>
        </is>
      </c>
      <c r="C122" s="12" t="n">
        <v>0.0281832823529839</v>
      </c>
    </row>
    <row r="123">
      <c r="A123" s="3" t="n">
        <v>122</v>
      </c>
      <c r="B123" s="3" t="inlineStr">
        <is>
          <t>2026-05-28</t>
        </is>
      </c>
      <c r="C123" s="12" t="n">
        <v>0.0271411864086985</v>
      </c>
    </row>
    <row r="124">
      <c r="A124" s="3" t="n">
        <v>123</v>
      </c>
      <c r="B124" s="3" t="inlineStr">
        <is>
          <t>2026-05-29</t>
        </is>
      </c>
      <c r="C124" s="12" t="n">
        <v>0.0281411260366439</v>
      </c>
    </row>
    <row r="125">
      <c r="A125" s="3" t="n">
        <v>124</v>
      </c>
      <c r="B125" s="3" t="inlineStr">
        <is>
          <t>2026-06-01</t>
        </is>
      </c>
      <c r="C125" s="12" t="n">
        <v>0.0275346925482153</v>
      </c>
    </row>
    <row r="126">
      <c r="A126" s="3" t="n">
        <v>125</v>
      </c>
      <c r="B126" s="3" t="inlineStr">
        <is>
          <t>2026-06-02</t>
        </is>
      </c>
      <c r="C126" s="12" t="n">
        <v>0.0301126241683959</v>
      </c>
    </row>
    <row r="127">
      <c r="A127" s="3" t="n">
        <v>126</v>
      </c>
      <c r="B127" s="3" t="inlineStr">
        <is>
          <t>2026-06-04</t>
        </is>
      </c>
      <c r="C127" s="12" t="n">
        <v>0.0300240200012922</v>
      </c>
    </row>
    <row r="128">
      <c r="A128" s="3" t="n">
        <v>127</v>
      </c>
      <c r="B128" s="3" t="inlineStr">
        <is>
          <t>2026-06-06</t>
        </is>
      </c>
      <c r="C128" s="12" t="n">
        <v>0.023557998239994</v>
      </c>
    </row>
    <row r="129">
      <c r="A129" s="3" t="n">
        <v>128</v>
      </c>
      <c r="B129" s="3" t="inlineStr">
        <is>
          <t>2026-06-07</t>
        </is>
      </c>
      <c r="C129" s="12" t="n">
        <v>0.0275539550930261</v>
      </c>
    </row>
    <row r="130">
      <c r="A130" s="3" t="n">
        <v>129</v>
      </c>
      <c r="B130" s="3" t="inlineStr">
        <is>
          <t>2026-06-08</t>
        </is>
      </c>
      <c r="C130" s="12" t="n">
        <v>0.0291289398446679</v>
      </c>
    </row>
    <row r="131">
      <c r="A131" s="3" t="n">
        <v>130</v>
      </c>
      <c r="B131" s="3" t="inlineStr">
        <is>
          <t>2026-06-09</t>
        </is>
      </c>
      <c r="C131" s="12" t="n">
        <v>0.0310479616746306</v>
      </c>
    </row>
    <row r="132">
      <c r="A132" s="3" t="n">
        <v>131</v>
      </c>
      <c r="B132" s="3" t="inlineStr">
        <is>
          <t>2026-06-10</t>
        </is>
      </c>
      <c r="C132" s="12" t="n">
        <v>0.0310717467218637</v>
      </c>
    </row>
    <row r="133">
      <c r="A133" s="3" t="n">
        <v>132</v>
      </c>
      <c r="B133" s="3" t="inlineStr">
        <is>
          <t>2026-06-13</t>
        </is>
      </c>
      <c r="C133" s="12" t="n">
        <v>0.0186788197606802</v>
      </c>
    </row>
    <row r="134">
      <c r="A134" s="3" t="n">
        <v>133</v>
      </c>
      <c r="B134" s="3" t="inlineStr">
        <is>
          <t>2026-06-14</t>
        </is>
      </c>
      <c r="C134" s="12" t="n">
        <v>0.0295934192836284</v>
      </c>
    </row>
    <row r="135">
      <c r="A135" s="3" t="n">
        <v>134</v>
      </c>
      <c r="B135" s="3" t="inlineStr">
        <is>
          <t>2026-06-15</t>
        </is>
      </c>
      <c r="C135" s="12" t="n">
        <v>0.0284682344645261</v>
      </c>
    </row>
    <row r="136">
      <c r="A136" s="3" t="n">
        <v>135</v>
      </c>
      <c r="B136" s="3" t="inlineStr">
        <is>
          <t>2026-06-16</t>
        </is>
      </c>
      <c r="C136" s="12" t="n">
        <v>0.0273301433771848</v>
      </c>
    </row>
    <row r="137">
      <c r="A137" s="3" t="n">
        <v>136</v>
      </c>
      <c r="B137" s="3" t="inlineStr">
        <is>
          <t>2026-06-17</t>
        </is>
      </c>
      <c r="C137" s="12" t="n">
        <v>0.0267563788220286</v>
      </c>
    </row>
    <row r="138">
      <c r="A138" s="3" t="n">
        <v>137</v>
      </c>
      <c r="B138" s="3" t="inlineStr">
        <is>
          <t>2026-06-20</t>
        </is>
      </c>
      <c r="C138" s="12" t="n">
        <v>0.0283457785844802</v>
      </c>
    </row>
    <row r="139">
      <c r="A139" s="3" t="n">
        <v>138</v>
      </c>
      <c r="B139" s="3" t="inlineStr">
        <is>
          <t>2026-06-21</t>
        </is>
      </c>
      <c r="C139" s="12" t="n">
        <v>0.0291182622313499</v>
      </c>
    </row>
    <row r="140">
      <c r="A140" s="3" t="n">
        <v>139</v>
      </c>
      <c r="B140" s="3" t="inlineStr">
        <is>
          <t>2026-06-22</t>
        </is>
      </c>
      <c r="C140" s="12" t="n">
        <v>0.0252352096140384</v>
      </c>
    </row>
    <row r="141">
      <c r="A141" s="3" t="n">
        <v>140</v>
      </c>
      <c r="B141" s="3" t="inlineStr">
        <is>
          <t>2026-06-23</t>
        </is>
      </c>
      <c r="C141" s="12" t="n">
        <v>0.0296769440174102</v>
      </c>
    </row>
    <row r="142">
      <c r="A142" s="3" t="n">
        <v>141</v>
      </c>
      <c r="B142" s="3" t="inlineStr">
        <is>
          <t>2026-06-24</t>
        </is>
      </c>
      <c r="C142" s="12" t="n">
        <v>0.0275385277345776</v>
      </c>
    </row>
    <row r="143">
      <c r="A143" s="3" t="n">
        <v>142</v>
      </c>
      <c r="B143" s="3" t="inlineStr">
        <is>
          <t>2026-06-25</t>
        </is>
      </c>
      <c r="C143" s="12" t="n">
        <v>0.0262040821835398</v>
      </c>
    </row>
    <row r="144">
      <c r="A144" s="3" t="n">
        <v>143</v>
      </c>
      <c r="B144" s="3" t="inlineStr">
        <is>
          <t>2026-06-26</t>
        </is>
      </c>
      <c r="C144" s="12" t="n">
        <v>0.0274911429733037</v>
      </c>
    </row>
    <row r="145">
      <c r="A145" s="3" t="n">
        <v>144</v>
      </c>
      <c r="B145" s="3" t="inlineStr">
        <is>
          <t>2026-06-27</t>
        </is>
      </c>
      <c r="C145" s="12" t="n">
        <v>0.0309762936085462</v>
      </c>
    </row>
    <row r="146">
      <c r="A146" s="3" t="n">
        <v>145</v>
      </c>
      <c r="B146" s="3" t="inlineStr">
        <is>
          <t>2026-06-28</t>
        </is>
      </c>
      <c r="C146" s="12" t="n">
        <v>0.0291943503543734</v>
      </c>
    </row>
    <row r="147">
      <c r="A147" s="3" t="n">
        <v>146</v>
      </c>
      <c r="B147" s="3" t="inlineStr">
        <is>
          <t>2026-06-29</t>
        </is>
      </c>
      <c r="C147" s="12" t="n">
        <v>0.0213917819783091</v>
      </c>
    </row>
    <row r="148">
      <c r="A148" s="3" t="n">
        <v>147</v>
      </c>
      <c r="B148" s="3" t="inlineStr">
        <is>
          <t>2026-07-01</t>
        </is>
      </c>
      <c r="C148" s="12" t="n">
        <v>0.0254211947321891</v>
      </c>
    </row>
    <row r="149">
      <c r="A149" s="3" t="n">
        <v>148</v>
      </c>
      <c r="B149" s="3" t="inlineStr">
        <is>
          <t>2026-07-02</t>
        </is>
      </c>
      <c r="C149" s="12" t="n">
        <v>0.0275263730436563</v>
      </c>
    </row>
    <row r="150">
      <c r="A150" s="3" t="n">
        <v>149</v>
      </c>
      <c r="B150" s="3" t="inlineStr">
        <is>
          <t>2026-07-03</t>
        </is>
      </c>
      <c r="C150" s="12" t="n">
        <v>0.0282197101041674</v>
      </c>
    </row>
    <row r="151">
      <c r="A151" s="3" t="n">
        <v>150</v>
      </c>
      <c r="B151" s="3" t="inlineStr">
        <is>
          <t>2026-07-04</t>
        </is>
      </c>
      <c r="C151" s="12" t="n">
        <v>0.0276878969743847</v>
      </c>
    </row>
    <row r="152">
      <c r="A152" s="3" t="n">
        <v>151</v>
      </c>
      <c r="B152" s="3" t="inlineStr">
        <is>
          <t>2026-07-05</t>
        </is>
      </c>
      <c r="C152" s="12" t="n">
        <v>0.0243475437164306</v>
      </c>
    </row>
    <row r="153">
      <c r="A153" s="3" t="n">
        <v>152</v>
      </c>
      <c r="B153" s="3" t="inlineStr">
        <is>
          <t>2026-07-06</t>
        </is>
      </c>
      <c r="C153" s="12" t="n">
        <v>0.0264467950910329</v>
      </c>
    </row>
    <row r="154">
      <c r="A154" s="3" t="n">
        <v>153</v>
      </c>
      <c r="B154" s="3" t="inlineStr">
        <is>
          <t>2026-07-08</t>
        </is>
      </c>
      <c r="C154" s="12" t="n">
        <v>0.0272728595882654</v>
      </c>
    </row>
    <row r="155">
      <c r="A155" s="3" t="n">
        <v>154</v>
      </c>
      <c r="B155" s="3" t="inlineStr">
        <is>
          <t>2026-07-09</t>
        </is>
      </c>
      <c r="C155" s="12" t="n">
        <v>0.0263794809579849</v>
      </c>
    </row>
    <row r="156">
      <c r="A156" s="3" t="n">
        <v>155</v>
      </c>
      <c r="B156" s="3" t="inlineStr">
        <is>
          <t>2026-07-10</t>
        </is>
      </c>
      <c r="C156" s="12" t="n">
        <v>0.0319486148655414</v>
      </c>
    </row>
    <row r="157">
      <c r="A157" s="3" t="n">
        <v>156</v>
      </c>
      <c r="B157" s="3" t="inlineStr">
        <is>
          <t>2026-07-12</t>
        </is>
      </c>
      <c r="C157" s="12" t="n">
        <v>0.0317397564649581</v>
      </c>
    </row>
    <row r="158">
      <c r="A158" s="3" t="n">
        <v>157</v>
      </c>
      <c r="B158" s="3" t="inlineStr">
        <is>
          <t>2026-07-13</t>
        </is>
      </c>
      <c r="C158" s="12" t="n">
        <v>0.0336411707103252</v>
      </c>
    </row>
    <row r="159">
      <c r="A159" s="3" t="n">
        <v>158</v>
      </c>
      <c r="B159" s="3" t="inlineStr">
        <is>
          <t>2026-07-14</t>
        </is>
      </c>
      <c r="C159" s="12" t="n">
        <v>0.0291441734880208</v>
      </c>
    </row>
    <row r="160">
      <c r="A160" s="3" t="n">
        <v>159</v>
      </c>
      <c r="B160" s="3" t="inlineStr">
        <is>
          <t>2026-07-15</t>
        </is>
      </c>
      <c r="C160" s="12" t="n">
        <v>0.0190708767622709</v>
      </c>
    </row>
    <row r="161">
      <c r="A161" s="3" t="n">
        <v>160</v>
      </c>
      <c r="B161" s="3" t="inlineStr">
        <is>
          <t>2026-07-16</t>
        </is>
      </c>
      <c r="C161" s="12" t="n">
        <v>0.0290499459952116</v>
      </c>
    </row>
    <row r="162">
      <c r="A162" s="3" t="n">
        <v>161</v>
      </c>
      <c r="B162" s="3" t="inlineStr">
        <is>
          <t>2026-07-17</t>
        </is>
      </c>
      <c r="C162" s="12" t="n">
        <v>0.0287603661417961</v>
      </c>
    </row>
    <row r="163">
      <c r="A163" s="3" t="n">
        <v>162</v>
      </c>
      <c r="B163" s="3" t="inlineStr">
        <is>
          <t>2026-07-19</t>
        </is>
      </c>
      <c r="C163" s="12" t="n">
        <v>0.0300776232033967</v>
      </c>
    </row>
    <row r="164">
      <c r="A164" s="3" t="n">
        <v>163</v>
      </c>
      <c r="B164" s="3" t="inlineStr">
        <is>
          <t>2026-07-20</t>
        </is>
      </c>
      <c r="C164" s="12" t="n">
        <v>0.0302452743053436</v>
      </c>
    </row>
    <row r="165">
      <c r="A165" s="3" t="n">
        <v>164</v>
      </c>
      <c r="B165" s="3" t="inlineStr">
        <is>
          <t>2026-07-22</t>
        </is>
      </c>
      <c r="C165" s="12" t="n">
        <v>0.036663468927145</v>
      </c>
    </row>
    <row r="166">
      <c r="A166" s="3" t="n">
        <v>165</v>
      </c>
      <c r="B166" s="3" t="inlineStr">
        <is>
          <t>2026-07-24</t>
        </is>
      </c>
      <c r="C166" s="12" t="n">
        <v>0.0279361028224229</v>
      </c>
    </row>
    <row r="167">
      <c r="A167" s="3" t="n">
        <v>166</v>
      </c>
      <c r="B167" s="3" t="inlineStr">
        <is>
          <t>2026-07-25</t>
        </is>
      </c>
      <c r="C167" s="12" t="n">
        <v>0.0304622463881969</v>
      </c>
    </row>
    <row r="168">
      <c r="A168" s="3" t="n">
        <v>167</v>
      </c>
      <c r="B168" s="3" t="inlineStr">
        <is>
          <t>2026-07-26</t>
        </is>
      </c>
      <c r="C168" s="12" t="n">
        <v>0.0267927534878253</v>
      </c>
    </row>
    <row r="169">
      <c r="A169" s="3" t="n">
        <v>168</v>
      </c>
      <c r="B169" s="3" t="inlineStr">
        <is>
          <t>2026-07-28</t>
        </is>
      </c>
      <c r="C169" s="12" t="n">
        <v>0.0322852469980716</v>
      </c>
    </row>
    <row r="170">
      <c r="A170" s="3" t="n">
        <v>169</v>
      </c>
      <c r="B170" s="3" t="inlineStr">
        <is>
          <t>2026-07-30</t>
        </is>
      </c>
      <c r="C170" s="12" t="n">
        <v>0.0339379645884037</v>
      </c>
    </row>
    <row r="171">
      <c r="A171" s="3" t="n">
        <v>170</v>
      </c>
      <c r="B171" s="3" t="inlineStr">
        <is>
          <t>2026-07-31</t>
        </is>
      </c>
      <c r="C171" s="12" t="n">
        <v>0.028393730521202</v>
      </c>
    </row>
    <row r="172">
      <c r="A172" s="3" t="n">
        <v>171</v>
      </c>
      <c r="B172" s="3" t="inlineStr">
        <is>
          <t>2026-08-01</t>
        </is>
      </c>
      <c r="C172" s="12" t="n">
        <v>0.031004843302071</v>
      </c>
    </row>
    <row r="173">
      <c r="A173" s="3" t="n">
        <v>172</v>
      </c>
      <c r="B173" s="3" t="inlineStr">
        <is>
          <t>2026-08-02</t>
        </is>
      </c>
      <c r="C173" s="12" t="n">
        <v>0.0272165304049849</v>
      </c>
    </row>
    <row r="174">
      <c r="A174" s="3" t="n">
        <v>173</v>
      </c>
      <c r="B174" s="3" t="inlineStr">
        <is>
          <t>2026-08-03</t>
        </is>
      </c>
      <c r="C174" s="12" t="n">
        <v>0.0261678034439682</v>
      </c>
    </row>
    <row r="175">
      <c r="A175" s="3" t="n">
        <v>174</v>
      </c>
      <c r="B175" s="3" t="inlineStr">
        <is>
          <t>2026-08-04</t>
        </is>
      </c>
      <c r="C175" s="12" t="n">
        <v>0.0302088614553213</v>
      </c>
    </row>
    <row r="176">
      <c r="A176" s="3" t="n">
        <v>175</v>
      </c>
      <c r="B176" s="3" t="inlineStr">
        <is>
          <t>2026-08-05</t>
        </is>
      </c>
      <c r="C176" s="12" t="n">
        <v>0.0296262176707386</v>
      </c>
    </row>
    <row r="177">
      <c r="A177" s="3" t="n">
        <v>176</v>
      </c>
      <c r="B177" s="3" t="inlineStr">
        <is>
          <t>2026-08-06</t>
        </is>
      </c>
      <c r="C177" s="12" t="n">
        <v>0.0263124890625476</v>
      </c>
    </row>
    <row r="178">
      <c r="A178" s="3" t="n">
        <v>177</v>
      </c>
      <c r="B178" s="3" t="inlineStr">
        <is>
          <t>2026-08-07</t>
        </is>
      </c>
      <c r="C178" s="12" t="n">
        <v>0.0287534110248088</v>
      </c>
    </row>
    <row r="179">
      <c r="A179" s="3" t="n">
        <v>178</v>
      </c>
      <c r="B179" s="3" t="inlineStr">
        <is>
          <t>2026-08-09</t>
        </is>
      </c>
      <c r="C179" s="12" t="n">
        <v>0.0266175176948308</v>
      </c>
    </row>
    <row r="180">
      <c r="A180" s="3" t="n">
        <v>179</v>
      </c>
      <c r="B180" s="3" t="inlineStr">
        <is>
          <t>2026-08-10</t>
        </is>
      </c>
      <c r="C180" s="12" t="n">
        <v>0.0383503828197717</v>
      </c>
    </row>
    <row r="181">
      <c r="A181" s="3" t="n">
        <v>180</v>
      </c>
      <c r="B181" s="3" t="inlineStr">
        <is>
          <t>2026-08-11</t>
        </is>
      </c>
      <c r="C181" s="12" t="n">
        <v>0.033317819237709</v>
      </c>
    </row>
    <row r="182">
      <c r="A182" s="3" t="n">
        <v>181</v>
      </c>
      <c r="B182" s="3" t="inlineStr">
        <is>
          <t>2026-08-12</t>
        </is>
      </c>
      <c r="C182" s="12" t="n">
        <v>0.0301117300987243</v>
      </c>
    </row>
    <row r="183">
      <c r="A183" s="3" t="n">
        <v>182</v>
      </c>
      <c r="B183" s="3" t="inlineStr">
        <is>
          <t>2026-08-13</t>
        </is>
      </c>
      <c r="C183" s="12" t="n">
        <v>0.0308809634298086</v>
      </c>
    </row>
    <row r="184">
      <c r="A184" s="3" t="n">
        <v>183</v>
      </c>
      <c r="B184" s="3" t="inlineStr">
        <is>
          <t>2026-08-14</t>
        </is>
      </c>
      <c r="C184" s="12" t="n">
        <v>0.0391003191471099</v>
      </c>
    </row>
    <row r="185">
      <c r="A185" s="3" t="n">
        <v>184</v>
      </c>
      <c r="B185" s="3" t="inlineStr">
        <is>
          <t>2026-08-15</t>
        </is>
      </c>
      <c r="C185" s="12" t="n">
        <v>0.0344256199896335</v>
      </c>
    </row>
    <row r="186">
      <c r="A186" s="3" t="n">
        <v>185</v>
      </c>
      <c r="B186" s="3" t="inlineStr">
        <is>
          <t>2026-08-16</t>
        </is>
      </c>
      <c r="C186" s="12" t="n">
        <v>0.0293448446318507</v>
      </c>
    </row>
    <row r="187">
      <c r="A187" s="3" t="n">
        <v>186</v>
      </c>
      <c r="B187" s="3" t="inlineStr">
        <is>
          <t>2026-08-17</t>
        </is>
      </c>
      <c r="C187" s="12" t="n">
        <v>0.0316660217940807</v>
      </c>
    </row>
    <row r="188">
      <c r="A188" s="3" t="n">
        <v>187</v>
      </c>
      <c r="B188" s="3" t="inlineStr">
        <is>
          <t>2026-08-18</t>
        </is>
      </c>
      <c r="C188" s="12" t="n">
        <v>0.0263260342180728</v>
      </c>
    </row>
    <row r="189">
      <c r="A189" s="3" t="n">
        <v>188</v>
      </c>
      <c r="B189" s="3" t="inlineStr">
        <is>
          <t>2026-08-19</t>
        </is>
      </c>
      <c r="C189" s="12" t="n">
        <v>0.0271544978022575</v>
      </c>
    </row>
    <row r="190">
      <c r="A190" s="3" t="n">
        <v>189</v>
      </c>
      <c r="B190" s="3" t="inlineStr">
        <is>
          <t>2026-08-20</t>
        </is>
      </c>
      <c r="C190" s="12" t="n">
        <v>0.0242793709039688</v>
      </c>
    </row>
    <row r="191">
      <c r="A191" s="3" t="n">
        <v>190</v>
      </c>
      <c r="B191" s="3" t="inlineStr">
        <is>
          <t>2026-08-21</t>
        </is>
      </c>
      <c r="C191" s="12" t="n">
        <v>0.0247413385659456</v>
      </c>
    </row>
    <row r="192">
      <c r="A192" s="3" t="n">
        <v>191</v>
      </c>
      <c r="B192" s="3" t="inlineStr">
        <is>
          <t>2026-08-22</t>
        </is>
      </c>
      <c r="C192" s="12" t="n">
        <v>0.0320468582212924</v>
      </c>
    </row>
    <row r="193">
      <c r="A193" s="3" t="n">
        <v>192</v>
      </c>
      <c r="B193" s="3" t="inlineStr">
        <is>
          <t>2026-08-23</t>
        </is>
      </c>
      <c r="C193" s="12" t="n">
        <v>0.0329127460718154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5" customWidth="1" min="4" max="4"/>
    <col width="46" customWidth="1" min="5" max="5"/>
    <col width="26" customWidth="1" min="6" max="6"/>
  </cols>
  <sheetData>
    <row r="1">
      <c r="A1" s="1" t="inlineStr">
        <is>
          <t>No</t>
        </is>
      </c>
      <c r="B1" s="1" t="inlineStr">
        <is>
          <t>Tanggal (Date)</t>
        </is>
      </c>
      <c r="C1" s="1" t="inlineStr">
        <is>
          <t>Konsentrasi NO2</t>
        </is>
      </c>
      <c r="E1" s="2" t="inlineStr">
        <is>
          <t>Indikator Statistik Deskriptif</t>
        </is>
      </c>
      <c r="F1" s="2" t="inlineStr">
        <is>
          <t>Hasil Hitungan Excel</t>
        </is>
      </c>
    </row>
    <row r="2">
      <c r="A2" s="3" t="n">
        <v>1</v>
      </c>
      <c r="B2" s="3" t="inlineStr">
        <is>
          <t>2025-08-24</t>
        </is>
      </c>
      <c r="C2" s="14" t="n">
        <v>8.063610584940761e-05</v>
      </c>
      <c r="E2" s="5" t="inlineStr">
        <is>
          <t>Banyaknya Data Valid (N)</t>
        </is>
      </c>
      <c r="F2" s="6">
        <f>COUNT(C2:C201)</f>
        <v/>
      </c>
    </row>
    <row r="3">
      <c r="A3" s="3" t="n">
        <v>2</v>
      </c>
      <c r="B3" s="3" t="inlineStr">
        <is>
          <t>2025-08-25</t>
        </is>
      </c>
      <c r="C3" s="14" t="n">
        <v>0.0001343039766652</v>
      </c>
      <c r="E3" s="5" t="inlineStr">
        <is>
          <t>Minimum (Min)</t>
        </is>
      </c>
      <c r="F3" s="15">
        <f>MIN(C2:C201)</f>
        <v/>
      </c>
    </row>
    <row r="4">
      <c r="A4" s="3" t="n">
        <v>3</v>
      </c>
      <c r="B4" s="3" t="inlineStr">
        <is>
          <t>2025-08-26</t>
        </is>
      </c>
      <c r="C4" s="14" t="n">
        <v>6.8755864049308e-05</v>
      </c>
      <c r="E4" s="5" t="inlineStr">
        <is>
          <t>Maksimum (Max)</t>
        </is>
      </c>
      <c r="F4" s="15">
        <f>MAX(C2:C201)</f>
        <v/>
      </c>
    </row>
    <row r="5">
      <c r="A5" s="3" t="n">
        <v>4</v>
      </c>
      <c r="B5" s="3" t="inlineStr">
        <is>
          <t>2025-08-27</t>
        </is>
      </c>
      <c r="C5" s="14" t="n">
        <v>5.595044058281928e-05</v>
      </c>
      <c r="E5" s="5" t="inlineStr">
        <is>
          <t>Rata-Rata (Mean / X_bar)</t>
        </is>
      </c>
      <c r="F5" s="15">
        <f>AVERAGE(C2:C201)</f>
        <v/>
      </c>
    </row>
    <row r="6">
      <c r="A6" s="3" t="n">
        <v>5</v>
      </c>
      <c r="B6" s="3" t="inlineStr">
        <is>
          <t>2025-08-28</t>
        </is>
      </c>
      <c r="C6" s="14" t="n">
        <v>8.00684774731053e-05</v>
      </c>
      <c r="E6" s="5" t="inlineStr">
        <is>
          <t>Nilai Tengah (Median / Me)</t>
        </is>
      </c>
      <c r="F6" s="15">
        <f>MEDIAN(C2:C201)</f>
        <v/>
      </c>
    </row>
    <row r="7">
      <c r="A7" s="3" t="n">
        <v>6</v>
      </c>
      <c r="B7" s="3" t="inlineStr">
        <is>
          <t>2025-08-29</t>
        </is>
      </c>
      <c r="C7" s="14" t="n">
        <v>8.519348557456397e-05</v>
      </c>
      <c r="E7" s="5" t="inlineStr">
        <is>
          <t>Variansi Sampel (s^2)</t>
        </is>
      </c>
      <c r="F7" s="15">
        <f>VAR(C2:C201)</f>
        <v/>
      </c>
    </row>
    <row r="8">
      <c r="A8" s="3" t="n">
        <v>7</v>
      </c>
      <c r="B8" s="3" t="inlineStr">
        <is>
          <t>2025-08-30</t>
        </is>
      </c>
      <c r="C8" s="14" t="n">
        <v>4.770733357872814e-05</v>
      </c>
      <c r="E8" s="5" t="inlineStr">
        <is>
          <t>Standar Deviasi Sampel (s)</t>
        </is>
      </c>
      <c r="F8" s="15">
        <f>STDEV(C2:C201)</f>
        <v/>
      </c>
    </row>
    <row r="9">
      <c r="A9" s="3" t="n">
        <v>8</v>
      </c>
      <c r="B9" s="3" t="inlineStr">
        <is>
          <t>2025-08-31</t>
        </is>
      </c>
      <c r="C9" s="14" t="n">
        <v>3.362177176313708e-05</v>
      </c>
      <c r="E9" s="5" t="inlineStr">
        <is>
          <t>Kemiringan (Skewness / S_k)</t>
        </is>
      </c>
      <c r="F9" s="15">
        <f>SKEW(C2:C201)</f>
        <v/>
      </c>
    </row>
    <row r="10">
      <c r="A10" s="3" t="n">
        <v>9</v>
      </c>
      <c r="B10" s="3" t="inlineStr">
        <is>
          <t>2025-09-01</t>
        </is>
      </c>
      <c r="C10" s="14" t="n">
        <v>4.905708192382008e-05</v>
      </c>
      <c r="E10" s="5" t="inlineStr">
        <is>
          <t>Keruncingan (Kurtosis / K)</t>
        </is>
      </c>
      <c r="F10" s="15">
        <f>KURT(C2:C201)</f>
        <v/>
      </c>
    </row>
    <row r="11">
      <c r="A11" s="3" t="n">
        <v>10</v>
      </c>
      <c r="B11" s="3" t="inlineStr">
        <is>
          <t>2025-09-03</t>
        </is>
      </c>
      <c r="C11" s="14" t="n">
        <v>3.388567711226642e-05</v>
      </c>
      <c r="E11" s="5" t="inlineStr">
        <is>
          <t>Konstanta Pengali Sturges (c = 1 / log10(2))</t>
        </is>
      </c>
      <c r="F11" s="8" t="n">
        <v>3.322</v>
      </c>
    </row>
    <row r="12">
      <c r="A12" s="3" t="n">
        <v>11</v>
      </c>
      <c r="B12" s="3" t="inlineStr">
        <is>
          <t>2025-09-04</t>
        </is>
      </c>
      <c r="C12" s="14" t="n">
        <v>2.825142018991756e-05</v>
      </c>
      <c r="E12" s="5" t="inlineStr">
        <is>
          <t>Jumlah Kelas Sturges (k)</t>
        </is>
      </c>
      <c r="F12" s="9">
        <f>1+F11*LOG10(F2)</f>
        <v/>
      </c>
    </row>
    <row r="13">
      <c r="A13" s="3" t="n">
        <v>12</v>
      </c>
      <c r="B13" s="3" t="inlineStr">
        <is>
          <t>2025-09-05</t>
        </is>
      </c>
      <c r="C13" s="14" t="n">
        <v>5.458094528876245e-05</v>
      </c>
      <c r="E13" s="5" t="inlineStr">
        <is>
          <t>Lebar Kelas Interval (W)</t>
        </is>
      </c>
      <c r="F13" s="15">
        <f>(F4-F3)/F12</f>
        <v/>
      </c>
    </row>
    <row r="14">
      <c r="A14" s="3" t="n">
        <v>13</v>
      </c>
      <c r="B14" s="3" t="inlineStr">
        <is>
          <t>2025-09-10</t>
        </is>
      </c>
      <c r="C14" s="14" t="n">
        <v>3.049462975468487e-05</v>
      </c>
    </row>
    <row r="15">
      <c r="A15" s="3" t="n">
        <v>14</v>
      </c>
      <c r="B15" s="3" t="inlineStr">
        <is>
          <t>2025-09-11</t>
        </is>
      </c>
      <c r="C15" s="14" t="n">
        <v>2.900252366089262e-05</v>
      </c>
      <c r="E15" s="10" t="inlineStr">
        <is>
          <t>* Catatan Informasi Sturges Rule:</t>
        </is>
      </c>
    </row>
    <row r="16">
      <c r="A16" s="3" t="n">
        <v>15</v>
      </c>
      <c r="B16" s="3" t="inlineStr">
        <is>
          <t>2025-09-12</t>
        </is>
      </c>
      <c r="C16" s="14" t="n">
        <v>3.674525578389876e-05</v>
      </c>
      <c r="E16" s="11" t="inlineStr">
        <is>
          <t>1. Sel F11 memuat nilai terbuka Konstanta Pengali Sturges (c = 3.322 = 1 / log10(2)).
2. Sel F12 menghitung Jumlah Kelas Sturges k = 1 + F11 * LOG10(N) secara otomatis dengan mengacu pada Sel F11 (Konstanta c) dan Sel F2 (Data Valid N).</t>
        </is>
      </c>
    </row>
    <row r="17">
      <c r="A17" s="3" t="n">
        <v>16</v>
      </c>
      <c r="B17" s="3" t="inlineStr">
        <is>
          <t>2025-09-13</t>
        </is>
      </c>
      <c r="C17" s="14" t="n">
        <v>5.573301859840285e-05</v>
      </c>
    </row>
    <row r="18">
      <c r="A18" s="3" t="n">
        <v>17</v>
      </c>
      <c r="B18" s="3" t="inlineStr">
        <is>
          <t>2025-09-14</t>
        </is>
      </c>
      <c r="C18" s="14" t="n">
        <v>3.636437213572208e-05</v>
      </c>
    </row>
    <row r="19">
      <c r="A19" s="3" t="n">
        <v>18</v>
      </c>
      <c r="B19" s="3" t="inlineStr">
        <is>
          <t>2025-09-15</t>
        </is>
      </c>
      <c r="C19" s="14" t="n">
        <v>5.070043152954895e-05</v>
      </c>
    </row>
    <row r="20">
      <c r="A20" s="3" t="n">
        <v>19</v>
      </c>
      <c r="B20" s="3" t="inlineStr">
        <is>
          <t>2025-09-16</t>
        </is>
      </c>
      <c r="C20" s="14" t="n">
        <v>2.873210542020388e-05</v>
      </c>
    </row>
    <row r="21">
      <c r="A21" s="3" t="n">
        <v>20</v>
      </c>
      <c r="B21" s="3" t="inlineStr">
        <is>
          <t>2025-09-18</t>
        </is>
      </c>
      <c r="C21" s="14" t="n">
        <v>4.704713501268998e-05</v>
      </c>
    </row>
    <row r="22">
      <c r="A22" s="3" t="n">
        <v>21</v>
      </c>
      <c r="B22" s="3" t="inlineStr">
        <is>
          <t>2025-09-20</t>
        </is>
      </c>
      <c r="C22" s="14" t="n">
        <v>3.774905417230912e-05</v>
      </c>
    </row>
    <row r="23">
      <c r="A23" s="3" t="n">
        <v>22</v>
      </c>
      <c r="B23" s="3" t="inlineStr">
        <is>
          <t>2025-09-21</t>
        </is>
      </c>
      <c r="C23" s="14" t="n">
        <v>4.806115975952707e-05</v>
      </c>
    </row>
    <row r="24">
      <c r="A24" s="3" t="n">
        <v>23</v>
      </c>
      <c r="B24" s="3" t="inlineStr">
        <is>
          <t>2025-09-22</t>
        </is>
      </c>
      <c r="C24" s="14" t="n">
        <v>6.147780004539527e-05</v>
      </c>
    </row>
    <row r="25">
      <c r="A25" s="3" t="n">
        <v>24</v>
      </c>
      <c r="B25" s="3" t="inlineStr">
        <is>
          <t>2025-09-23</t>
        </is>
      </c>
      <c r="C25" s="14" t="n">
        <v>6.376956480380613e-05</v>
      </c>
    </row>
    <row r="26">
      <c r="A26" s="3" t="n">
        <v>25</v>
      </c>
      <c r="B26" s="3" t="inlineStr">
        <is>
          <t>2025-09-24</t>
        </is>
      </c>
      <c r="C26" s="14" t="n">
        <v>0.0002889214083552</v>
      </c>
    </row>
    <row r="27">
      <c r="A27" s="3" t="n">
        <v>26</v>
      </c>
      <c r="B27" s="3" t="inlineStr">
        <is>
          <t>2025-09-25</t>
        </is>
      </c>
      <c r="C27" s="14" t="n">
        <v>4.276883555576205e-05</v>
      </c>
    </row>
    <row r="28">
      <c r="A28" s="3" t="n">
        <v>27</v>
      </c>
      <c r="B28" s="3" t="inlineStr">
        <is>
          <t>2025-09-26</t>
        </is>
      </c>
      <c r="C28" s="14" t="n">
        <v>2.272281381010544e-05</v>
      </c>
    </row>
    <row r="29">
      <c r="A29" s="3" t="n">
        <v>28</v>
      </c>
      <c r="B29" s="3" t="inlineStr">
        <is>
          <t>2025-09-27</t>
        </is>
      </c>
      <c r="C29" s="14" t="n">
        <v>2.964478153444361e-05</v>
      </c>
    </row>
    <row r="30">
      <c r="A30" s="3" t="n">
        <v>29</v>
      </c>
      <c r="B30" s="3" t="inlineStr">
        <is>
          <t>2025-09-28</t>
        </is>
      </c>
      <c r="C30" s="14" t="n">
        <v>-2.345399934711168e-06</v>
      </c>
    </row>
    <row r="31">
      <c r="A31" s="3" t="n">
        <v>30</v>
      </c>
      <c r="B31" s="3" t="inlineStr">
        <is>
          <t>2025-09-29</t>
        </is>
      </c>
      <c r="C31" s="14" t="n">
        <v>2.01944731088588e-05</v>
      </c>
    </row>
    <row r="32">
      <c r="A32" s="3" t="n">
        <v>31</v>
      </c>
      <c r="B32" s="3" t="inlineStr">
        <is>
          <t>2025-10-02</t>
        </is>
      </c>
      <c r="C32" s="14" t="n">
        <v>2.96706839435501e-05</v>
      </c>
    </row>
    <row r="33">
      <c r="A33" s="3" t="n">
        <v>32</v>
      </c>
      <c r="B33" s="3" t="inlineStr">
        <is>
          <t>2025-10-03</t>
        </is>
      </c>
      <c r="C33" s="14" t="n">
        <v>3.137985549983568e-05</v>
      </c>
    </row>
    <row r="34">
      <c r="A34" s="3" t="n">
        <v>33</v>
      </c>
      <c r="B34" s="3" t="inlineStr">
        <is>
          <t>2025-10-04</t>
        </is>
      </c>
      <c r="C34" s="14" t="n">
        <v>6.535049760714173e-05</v>
      </c>
    </row>
    <row r="35">
      <c r="A35" s="3" t="n">
        <v>34</v>
      </c>
      <c r="B35" s="3" t="inlineStr">
        <is>
          <t>2025-10-05</t>
        </is>
      </c>
      <c r="C35" s="14" t="n">
        <v>3.028174432984088e-05</v>
      </c>
    </row>
    <row r="36">
      <c r="A36" s="3" t="n">
        <v>35</v>
      </c>
      <c r="B36" s="3" t="inlineStr">
        <is>
          <t>2025-10-06</t>
        </is>
      </c>
      <c r="C36" s="14" t="n">
        <v>3.57160161001957e-05</v>
      </c>
    </row>
    <row r="37">
      <c r="A37" s="3" t="n">
        <v>36</v>
      </c>
      <c r="B37" s="3" t="inlineStr">
        <is>
          <t>2025-10-07</t>
        </is>
      </c>
      <c r="C37" s="14" t="n">
        <v>8.372458250960335e-05</v>
      </c>
    </row>
    <row r="38">
      <c r="A38" s="3" t="n">
        <v>37</v>
      </c>
      <c r="B38" s="3" t="inlineStr">
        <is>
          <t>2025-10-08</t>
        </is>
      </c>
      <c r="C38" s="14" t="n">
        <v>6.610119635297451e-05</v>
      </c>
    </row>
    <row r="39">
      <c r="A39" s="3" t="n">
        <v>38</v>
      </c>
      <c r="B39" s="3" t="inlineStr">
        <is>
          <t>2025-10-09</t>
        </is>
      </c>
      <c r="C39" s="14" t="n">
        <v>0.0001445007001166</v>
      </c>
    </row>
    <row r="40">
      <c r="A40" s="3" t="n">
        <v>39</v>
      </c>
      <c r="B40" s="3" t="inlineStr">
        <is>
          <t>2025-10-10</t>
        </is>
      </c>
      <c r="C40" s="14" t="n">
        <v>8.621282904641703e-05</v>
      </c>
    </row>
    <row r="41">
      <c r="A41" s="3" t="n">
        <v>40</v>
      </c>
      <c r="B41" s="3" t="inlineStr">
        <is>
          <t>2025-10-11</t>
        </is>
      </c>
      <c r="C41" s="14" t="n">
        <v>3.691385791171342e-05</v>
      </c>
    </row>
    <row r="42">
      <c r="A42" s="3" t="n">
        <v>41</v>
      </c>
      <c r="B42" s="3" t="inlineStr">
        <is>
          <t>2025-10-12</t>
        </is>
      </c>
      <c r="C42" s="14" t="n">
        <v>4.354730117483996e-05</v>
      </c>
    </row>
    <row r="43">
      <c r="A43" s="3" t="n">
        <v>42</v>
      </c>
      <c r="B43" s="3" t="inlineStr">
        <is>
          <t>2025-10-14</t>
        </is>
      </c>
      <c r="C43" s="14" t="n">
        <v>2.745382971625077e-05</v>
      </c>
    </row>
    <row r="44">
      <c r="A44" s="3" t="n">
        <v>43</v>
      </c>
      <c r="B44" s="3" t="inlineStr">
        <is>
          <t>2025-10-15</t>
        </is>
      </c>
      <c r="C44" s="14" t="n">
        <v>2.408474938420113e-05</v>
      </c>
    </row>
    <row r="45">
      <c r="A45" s="3" t="n">
        <v>44</v>
      </c>
      <c r="B45" s="3" t="inlineStr">
        <is>
          <t>2025-10-16</t>
        </is>
      </c>
      <c r="C45" s="14" t="n">
        <v>4.158880619797856e-05</v>
      </c>
    </row>
    <row r="46">
      <c r="A46" s="3" t="n">
        <v>45</v>
      </c>
      <c r="B46" s="3" t="inlineStr">
        <is>
          <t>2025-10-17</t>
        </is>
      </c>
      <c r="C46" s="14" t="n">
        <v>4.284968235879205e-05</v>
      </c>
    </row>
    <row r="47">
      <c r="A47" s="3" t="n">
        <v>46</v>
      </c>
      <c r="B47" s="3" t="inlineStr">
        <is>
          <t>2025-10-18</t>
        </is>
      </c>
      <c r="C47" s="14" t="n">
        <v>2.843036236299668e-05</v>
      </c>
    </row>
    <row r="48">
      <c r="A48" s="3" t="n">
        <v>47</v>
      </c>
      <c r="B48" s="3" t="inlineStr">
        <is>
          <t>2025-10-19</t>
        </is>
      </c>
      <c r="C48" s="14" t="n">
        <v>3.136881059617735e-05</v>
      </c>
    </row>
    <row r="49">
      <c r="A49" s="3" t="n">
        <v>48</v>
      </c>
      <c r="B49" s="3" t="inlineStr">
        <is>
          <t>2025-10-28</t>
        </is>
      </c>
      <c r="C49" s="14" t="n">
        <v>2.299657535331789e-05</v>
      </c>
    </row>
    <row r="50">
      <c r="A50" s="3" t="n">
        <v>49</v>
      </c>
      <c r="B50" s="3" t="inlineStr">
        <is>
          <t>2025-11-05</t>
        </is>
      </c>
      <c r="C50" s="14" t="n">
        <v>5.463728302856907e-05</v>
      </c>
    </row>
    <row r="51">
      <c r="A51" s="3" t="n">
        <v>50</v>
      </c>
      <c r="B51" s="3" t="inlineStr">
        <is>
          <t>2025-11-07</t>
        </is>
      </c>
      <c r="C51" s="14" t="n">
        <v>1.720375257718842e-05</v>
      </c>
    </row>
    <row r="52">
      <c r="A52" s="3" t="n">
        <v>51</v>
      </c>
      <c r="B52" s="3" t="inlineStr">
        <is>
          <t>2025-11-20</t>
        </is>
      </c>
      <c r="C52" s="14" t="n">
        <v>3.086027027165983e-05</v>
      </c>
    </row>
    <row r="53">
      <c r="A53" s="3" t="n">
        <v>52</v>
      </c>
      <c r="B53" s="3" t="inlineStr">
        <is>
          <t>2025-11-21</t>
        </is>
      </c>
      <c r="C53" s="14" t="n">
        <v>2.832624340953771e-05</v>
      </c>
    </row>
    <row r="54">
      <c r="A54" s="3" t="n">
        <v>53</v>
      </c>
      <c r="B54" s="3" t="inlineStr">
        <is>
          <t>2025-11-23</t>
        </is>
      </c>
      <c r="C54" s="14" t="n">
        <v>2.994190617755521e-05</v>
      </c>
    </row>
    <row r="55">
      <c r="A55" s="3" t="n">
        <v>54</v>
      </c>
      <c r="B55" s="3" t="inlineStr">
        <is>
          <t>2025-11-25</t>
        </is>
      </c>
      <c r="C55" s="14" t="n">
        <v>2.574181689851684e-05</v>
      </c>
    </row>
    <row r="56">
      <c r="A56" s="3" t="n">
        <v>55</v>
      </c>
      <c r="B56" s="3" t="inlineStr">
        <is>
          <t>2025-11-26</t>
        </is>
      </c>
      <c r="C56" s="14" t="n">
        <v>3.311500768177211e-05</v>
      </c>
    </row>
    <row r="57">
      <c r="A57" s="3" t="n">
        <v>56</v>
      </c>
      <c r="B57" s="3" t="inlineStr">
        <is>
          <t>2025-12-01</t>
        </is>
      </c>
      <c r="C57" s="14" t="n">
        <v>5.47873460163828e-05</v>
      </c>
    </row>
    <row r="58">
      <c r="A58" s="3" t="n">
        <v>57</v>
      </c>
      <c r="B58" s="3" t="inlineStr">
        <is>
          <t>2025-12-02</t>
        </is>
      </c>
      <c r="C58" s="14" t="n">
        <v>3.603175355237909e-05</v>
      </c>
    </row>
    <row r="59">
      <c r="A59" s="3" t="n">
        <v>58</v>
      </c>
      <c r="B59" s="3" t="inlineStr">
        <is>
          <t>2025-12-03</t>
        </is>
      </c>
      <c r="C59" s="14" t="n">
        <v>2.806424345180858e-05</v>
      </c>
    </row>
    <row r="60">
      <c r="A60" s="3" t="n">
        <v>59</v>
      </c>
      <c r="B60" s="3" t="inlineStr">
        <is>
          <t>2025-12-05</t>
        </is>
      </c>
      <c r="C60" s="14" t="n">
        <v>1.595267326592875e-05</v>
      </c>
    </row>
    <row r="61">
      <c r="A61" s="3" t="n">
        <v>60</v>
      </c>
      <c r="B61" s="3" t="inlineStr">
        <is>
          <t>2025-12-07</t>
        </is>
      </c>
      <c r="C61" s="14" t="n">
        <v>3.001583627337823e-05</v>
      </c>
    </row>
    <row r="62">
      <c r="A62" s="3" t="n">
        <v>61</v>
      </c>
      <c r="B62" s="3" t="inlineStr">
        <is>
          <t>2025-12-08</t>
        </is>
      </c>
      <c r="C62" s="14" t="n">
        <v>2.923432657553349e-05</v>
      </c>
    </row>
    <row r="63">
      <c r="A63" s="3" t="n">
        <v>62</v>
      </c>
      <c r="B63" s="3" t="inlineStr">
        <is>
          <t>2025-12-10</t>
        </is>
      </c>
      <c r="C63" s="14" t="n">
        <v>3.346657103975303e-05</v>
      </c>
    </row>
    <row r="64">
      <c r="A64" s="3" t="n">
        <v>63</v>
      </c>
      <c r="B64" s="3" t="inlineStr">
        <is>
          <t>2025-12-11</t>
        </is>
      </c>
      <c r="C64" s="14" t="n">
        <v>1.99123824131675e-05</v>
      </c>
    </row>
    <row r="65">
      <c r="A65" s="3" t="n">
        <v>64</v>
      </c>
      <c r="B65" s="3" t="inlineStr">
        <is>
          <t>2025-12-12</t>
        </is>
      </c>
      <c r="C65" s="14" t="n">
        <v>2.318740735063329e-05</v>
      </c>
    </row>
    <row r="66">
      <c r="A66" s="3" t="n">
        <v>65</v>
      </c>
      <c r="B66" s="3" t="inlineStr">
        <is>
          <t>2025-12-13</t>
        </is>
      </c>
      <c r="C66" s="14" t="n">
        <v>1.921354305522982e-05</v>
      </c>
    </row>
    <row r="67">
      <c r="A67" s="3" t="n">
        <v>66</v>
      </c>
      <c r="B67" s="3" t="inlineStr">
        <is>
          <t>2025-12-15</t>
        </is>
      </c>
      <c r="C67" s="14" t="n">
        <v>2.564624628575984e-05</v>
      </c>
    </row>
    <row r="68">
      <c r="A68" s="3" t="n">
        <v>67</v>
      </c>
      <c r="B68" s="3" t="inlineStr">
        <is>
          <t>2025-12-17</t>
        </is>
      </c>
      <c r="C68" s="14" t="n">
        <v>7.787993411056959e-06</v>
      </c>
    </row>
    <row r="69">
      <c r="A69" s="3" t="n">
        <v>68</v>
      </c>
      <c r="B69" s="3" t="inlineStr">
        <is>
          <t>2025-12-21</t>
        </is>
      </c>
      <c r="C69" s="14" t="n">
        <v>3.811298211076064e-05</v>
      </c>
    </row>
    <row r="70">
      <c r="A70" s="3" t="n">
        <v>69</v>
      </c>
      <c r="B70" s="3" t="inlineStr">
        <is>
          <t>2025-12-22</t>
        </is>
      </c>
      <c r="C70" s="14" t="n">
        <v>2.858182051568292e-05</v>
      </c>
    </row>
    <row r="71">
      <c r="A71" s="3" t="n">
        <v>70</v>
      </c>
      <c r="B71" s="3" t="inlineStr">
        <is>
          <t>2025-12-23</t>
        </is>
      </c>
      <c r="C71" s="14" t="n">
        <v>1.819806311686989e-05</v>
      </c>
    </row>
    <row r="72">
      <c r="A72" s="3" t="n">
        <v>71</v>
      </c>
      <c r="B72" s="3" t="inlineStr">
        <is>
          <t>2025-12-25</t>
        </is>
      </c>
      <c r="C72" s="14" t="n">
        <v>1.985265907933353e-05</v>
      </c>
    </row>
    <row r="73">
      <c r="A73" s="3" t="n">
        <v>72</v>
      </c>
      <c r="B73" s="3" t="inlineStr">
        <is>
          <t>2025-12-28</t>
        </is>
      </c>
      <c r="C73" s="14" t="n">
        <v>2.281565230077831e-05</v>
      </c>
    </row>
    <row r="74">
      <c r="A74" s="3" t="n">
        <v>73</v>
      </c>
      <c r="B74" s="3" t="inlineStr">
        <is>
          <t>2025-12-29</t>
        </is>
      </c>
      <c r="C74" s="14" t="n">
        <v>2.654440049809637e-05</v>
      </c>
    </row>
    <row r="75">
      <c r="A75" s="3" t="n">
        <v>74</v>
      </c>
      <c r="B75" s="3" t="inlineStr">
        <is>
          <t>2026-01-08</t>
        </is>
      </c>
      <c r="C75" s="14" t="n">
        <v>1.950079695234308e-05</v>
      </c>
    </row>
    <row r="76">
      <c r="A76" s="3" t="n">
        <v>75</v>
      </c>
      <c r="B76" s="3" t="inlineStr">
        <is>
          <t>2026-01-09</t>
        </is>
      </c>
      <c r="C76" s="14" t="n">
        <v>5.467668233904988e-05</v>
      </c>
    </row>
    <row r="77">
      <c r="A77" s="3" t="n">
        <v>76</v>
      </c>
      <c r="B77" s="3" t="inlineStr">
        <is>
          <t>2026-01-24</t>
        </is>
      </c>
      <c r="C77" s="14" t="n">
        <v>1.611636434972752e-05</v>
      </c>
    </row>
    <row r="78">
      <c r="A78" s="3" t="n">
        <v>77</v>
      </c>
      <c r="B78" s="3" t="inlineStr">
        <is>
          <t>2026-01-25</t>
        </is>
      </c>
      <c r="C78" s="14" t="n">
        <v>2.384442541369935e-05</v>
      </c>
    </row>
    <row r="79">
      <c r="A79" s="3" t="n">
        <v>78</v>
      </c>
      <c r="B79" s="3" t="inlineStr">
        <is>
          <t>2026-01-29</t>
        </is>
      </c>
      <c r="C79" s="14" t="n">
        <v>1.330647410213714e-05</v>
      </c>
    </row>
    <row r="80">
      <c r="A80" s="3" t="n">
        <v>79</v>
      </c>
      <c r="B80" s="3" t="inlineStr">
        <is>
          <t>2026-01-30</t>
        </is>
      </c>
      <c r="C80" s="14" t="n">
        <v>1.010177129501244e-05</v>
      </c>
    </row>
    <row r="81">
      <c r="A81" s="3" t="n">
        <v>80</v>
      </c>
      <c r="B81" s="3" t="inlineStr">
        <is>
          <t>2026-01-31</t>
        </is>
      </c>
      <c r="C81" s="14" t="n">
        <v>4.094266842002981e-05</v>
      </c>
    </row>
    <row r="82">
      <c r="A82" s="3" t="n">
        <v>81</v>
      </c>
      <c r="B82" s="3" t="inlineStr">
        <is>
          <t>2026-02-03</t>
        </is>
      </c>
      <c r="C82" s="14" t="n">
        <v>1.733387125568697e-05</v>
      </c>
    </row>
    <row r="83">
      <c r="A83" s="3" t="n">
        <v>82</v>
      </c>
      <c r="B83" s="3" t="inlineStr">
        <is>
          <t>2026-02-04</t>
        </is>
      </c>
      <c r="C83" s="14" t="n">
        <v>2.273642348882277e-05</v>
      </c>
    </row>
    <row r="84">
      <c r="A84" s="3" t="n">
        <v>83</v>
      </c>
      <c r="B84" s="3" t="inlineStr">
        <is>
          <t>2026-02-15</t>
        </is>
      </c>
      <c r="C84" s="14" t="n">
        <v>1.97823374037398e-05</v>
      </c>
    </row>
    <row r="85">
      <c r="A85" s="3" t="n">
        <v>84</v>
      </c>
      <c r="B85" s="3" t="inlineStr">
        <is>
          <t>2026-02-27</t>
        </is>
      </c>
      <c r="C85" s="14" t="n">
        <v>2.939686237368733e-05</v>
      </c>
    </row>
    <row r="86">
      <c r="A86" s="3" t="n">
        <v>85</v>
      </c>
      <c r="B86" s="3" t="inlineStr">
        <is>
          <t>2026-03-09</t>
        </is>
      </c>
      <c r="C86" s="14" t="n">
        <v>2.695027978916187e-05</v>
      </c>
    </row>
    <row r="87">
      <c r="A87" s="3" t="n">
        <v>86</v>
      </c>
      <c r="B87" s="3" t="inlineStr">
        <is>
          <t>2026-03-10</t>
        </is>
      </c>
      <c r="C87" s="14" t="n">
        <v>3.190913230355363e-05</v>
      </c>
    </row>
    <row r="88">
      <c r="A88" s="3" t="n">
        <v>87</v>
      </c>
      <c r="B88" s="3" t="inlineStr">
        <is>
          <t>2026-03-11</t>
        </is>
      </c>
      <c r="C88" s="14" t="n">
        <v>3.071738410653779e-05</v>
      </c>
    </row>
    <row r="89">
      <c r="A89" s="3" t="n">
        <v>88</v>
      </c>
      <c r="B89" s="3" t="inlineStr">
        <is>
          <t>2026-03-12</t>
        </is>
      </c>
      <c r="C89" s="14" t="n">
        <v>1.351690843875986e-05</v>
      </c>
    </row>
    <row r="90">
      <c r="A90" s="3" t="n">
        <v>89</v>
      </c>
      <c r="B90" s="3" t="inlineStr">
        <is>
          <t>2026-03-13</t>
        </is>
      </c>
      <c r="C90" s="14" t="n">
        <v>1.042076382873347e-05</v>
      </c>
    </row>
    <row r="91">
      <c r="A91" s="3" t="n">
        <v>90</v>
      </c>
      <c r="B91" s="3" t="inlineStr">
        <is>
          <t>2026-03-14</t>
        </is>
      </c>
      <c r="C91" s="14" t="n">
        <v>2.652772491273936e-05</v>
      </c>
    </row>
    <row r="92">
      <c r="A92" s="3" t="n">
        <v>91</v>
      </c>
      <c r="B92" s="3" t="inlineStr">
        <is>
          <t>2026-03-16</t>
        </is>
      </c>
      <c r="C92" s="14" t="n">
        <v>1.942792096087942e-05</v>
      </c>
    </row>
    <row r="93">
      <c r="A93" s="3" t="n">
        <v>92</v>
      </c>
      <c r="B93" s="3" t="inlineStr">
        <is>
          <t>2026-03-17</t>
        </is>
      </c>
      <c r="C93" s="14" t="n">
        <v>2.900043728004676e-05</v>
      </c>
    </row>
    <row r="94">
      <c r="A94" s="3" t="n">
        <v>93</v>
      </c>
      <c r="B94" s="3" t="inlineStr">
        <is>
          <t>2026-03-18</t>
        </is>
      </c>
      <c r="C94" s="14" t="n">
        <v>3.279372322140262e-05</v>
      </c>
    </row>
    <row r="95">
      <c r="A95" s="3" t="n">
        <v>94</v>
      </c>
      <c r="B95" s="3" t="inlineStr">
        <is>
          <t>2026-03-19</t>
        </is>
      </c>
      <c r="C95" s="14" t="n">
        <v>2.851552017091308e-05</v>
      </c>
    </row>
    <row r="96">
      <c r="A96" s="3" t="n">
        <v>95</v>
      </c>
      <c r="B96" s="3" t="inlineStr">
        <is>
          <t>2026-03-23</t>
        </is>
      </c>
      <c r="C96" s="14" t="n">
        <v>2.47669577220222e-05</v>
      </c>
    </row>
    <row r="97">
      <c r="A97" s="3" t="n">
        <v>96</v>
      </c>
      <c r="B97" s="3" t="inlineStr">
        <is>
          <t>2026-03-24</t>
        </is>
      </c>
      <c r="C97" s="14" t="n">
        <v>2.534144095989177e-05</v>
      </c>
    </row>
    <row r="98">
      <c r="A98" s="3" t="n">
        <v>97</v>
      </c>
      <c r="B98" s="3" t="inlineStr">
        <is>
          <t>2026-03-27</t>
        </is>
      </c>
      <c r="C98" s="14" t="n">
        <v>2.666675209184177e-05</v>
      </c>
    </row>
    <row r="99">
      <c r="A99" s="3" t="n">
        <v>98</v>
      </c>
      <c r="B99" s="3" t="inlineStr">
        <is>
          <t>2026-03-29</t>
        </is>
      </c>
      <c r="C99" s="14" t="n">
        <v>6.212384687387384e-05</v>
      </c>
    </row>
    <row r="100">
      <c r="A100" s="3" t="n">
        <v>99</v>
      </c>
      <c r="B100" s="3" t="inlineStr">
        <is>
          <t>2026-04-05</t>
        </is>
      </c>
      <c r="C100" s="14" t="n">
        <v>3.172298602294177e-05</v>
      </c>
    </row>
    <row r="101">
      <c r="A101" s="3" t="n">
        <v>100</v>
      </c>
      <c r="B101" s="3" t="inlineStr">
        <is>
          <t>2026-04-06</t>
        </is>
      </c>
      <c r="C101" s="14" t="n">
        <v>2.194445187342353e-05</v>
      </c>
    </row>
    <row r="102">
      <c r="A102" s="3" t="n">
        <v>101</v>
      </c>
      <c r="B102" s="3" t="inlineStr">
        <is>
          <t>2026-04-07</t>
        </is>
      </c>
      <c r="C102" s="14" t="n">
        <v>2.035406805589446e-05</v>
      </c>
    </row>
    <row r="103">
      <c r="A103" s="3" t="n">
        <v>102</v>
      </c>
      <c r="B103" s="3" t="inlineStr">
        <is>
          <t>2026-04-08</t>
        </is>
      </c>
      <c r="C103" s="14" t="n">
        <v>1.901162522699451e-05</v>
      </c>
    </row>
    <row r="104">
      <c r="A104" s="3" t="n">
        <v>103</v>
      </c>
      <c r="B104" s="3" t="inlineStr">
        <is>
          <t>2026-04-15</t>
        </is>
      </c>
      <c r="C104" s="14" t="n">
        <v>5.247038279776461e-05</v>
      </c>
    </row>
    <row r="105">
      <c r="A105" s="3" t="n">
        <v>104</v>
      </c>
      <c r="B105" s="3" t="inlineStr">
        <is>
          <t>2026-04-19</t>
        </is>
      </c>
      <c r="C105" s="14" t="n">
        <v>3.728923184098676e-05</v>
      </c>
    </row>
    <row r="106">
      <c r="A106" s="3" t="n">
        <v>105</v>
      </c>
      <c r="B106" s="3" t="inlineStr">
        <is>
          <t>2026-04-20</t>
        </is>
      </c>
      <c r="C106" s="14" t="n">
        <v>0.0001527852436993</v>
      </c>
    </row>
    <row r="107">
      <c r="A107" s="3" t="n">
        <v>106</v>
      </c>
      <c r="B107" s="3" t="inlineStr">
        <is>
          <t>2026-04-23</t>
        </is>
      </c>
      <c r="C107" s="14" t="n">
        <v>1.012140683087637e-05</v>
      </c>
    </row>
    <row r="108">
      <c r="A108" s="3" t="n">
        <v>107</v>
      </c>
      <c r="B108" s="3" t="inlineStr">
        <is>
          <t>2026-04-24</t>
        </is>
      </c>
      <c r="C108" s="14" t="n">
        <v>1.096589676308213e-05</v>
      </c>
    </row>
    <row r="109">
      <c r="A109" s="3" t="n">
        <v>108</v>
      </c>
      <c r="B109" s="3" t="inlineStr">
        <is>
          <t>2026-04-26</t>
        </is>
      </c>
      <c r="C109" s="14" t="n">
        <v>5.101778697280679e-05</v>
      </c>
    </row>
    <row r="110">
      <c r="A110" s="3" t="n">
        <v>109</v>
      </c>
      <c r="B110" s="3" t="inlineStr">
        <is>
          <t>2026-05-01</t>
        </is>
      </c>
      <c r="C110" s="14" t="n">
        <v>3.247322092647664e-05</v>
      </c>
    </row>
    <row r="111">
      <c r="A111" s="3" t="n">
        <v>110</v>
      </c>
      <c r="B111" s="3" t="inlineStr">
        <is>
          <t>2026-05-04</t>
        </is>
      </c>
      <c r="C111" s="14" t="n">
        <v>5.182884706300683e-05</v>
      </c>
    </row>
    <row r="112">
      <c r="A112" s="3" t="n">
        <v>111</v>
      </c>
      <c r="B112" s="3" t="inlineStr">
        <is>
          <t>2026-05-05</t>
        </is>
      </c>
      <c r="C112" s="14" t="n">
        <v>8.213437104132026e-05</v>
      </c>
    </row>
    <row r="113">
      <c r="A113" s="3" t="n">
        <v>112</v>
      </c>
      <c r="B113" s="3" t="inlineStr">
        <is>
          <t>2026-05-06</t>
        </is>
      </c>
      <c r="C113" s="14" t="n">
        <v>5.051389598520473e-05</v>
      </c>
    </row>
    <row r="114">
      <c r="A114" s="3" t="n">
        <v>113</v>
      </c>
      <c r="B114" s="3" t="inlineStr">
        <is>
          <t>2026-05-07</t>
        </is>
      </c>
      <c r="C114" s="14" t="n">
        <v>3.049189217563253e-05</v>
      </c>
    </row>
    <row r="115">
      <c r="A115" s="3" t="n">
        <v>114</v>
      </c>
      <c r="B115" s="3" t="inlineStr">
        <is>
          <t>2026-05-08</t>
        </is>
      </c>
      <c r="C115" s="14" t="n">
        <v>5.165637412574142e-05</v>
      </c>
    </row>
    <row r="116">
      <c r="A116" s="3" t="n">
        <v>115</v>
      </c>
      <c r="B116" s="3" t="inlineStr">
        <is>
          <t>2026-05-10</t>
        </is>
      </c>
      <c r="C116" s="14" t="n">
        <v>3.919238770322409e-05</v>
      </c>
    </row>
    <row r="117">
      <c r="A117" s="3" t="n">
        <v>116</v>
      </c>
      <c r="B117" s="3" t="inlineStr">
        <is>
          <t>2026-05-11</t>
        </is>
      </c>
      <c r="C117" s="14" t="n">
        <v>3.642222509370185e-05</v>
      </c>
    </row>
    <row r="118">
      <c r="A118" s="3" t="n">
        <v>117</v>
      </c>
      <c r="B118" s="3" t="inlineStr">
        <is>
          <t>2026-05-12</t>
        </is>
      </c>
      <c r="C118" s="14" t="n">
        <v>7.381849900411908e-05</v>
      </c>
    </row>
    <row r="119">
      <c r="A119" s="3" t="n">
        <v>118</v>
      </c>
      <c r="B119" s="3" t="inlineStr">
        <is>
          <t>2026-05-13</t>
        </is>
      </c>
      <c r="C119" s="14" t="n">
        <v>4.625205110642128e-05</v>
      </c>
    </row>
    <row r="120">
      <c r="A120" s="3" t="n">
        <v>119</v>
      </c>
      <c r="B120" s="3" t="inlineStr">
        <is>
          <t>2026-05-15</t>
        </is>
      </c>
      <c r="C120" s="14" t="n">
        <v>5.545542444451712e-05</v>
      </c>
    </row>
    <row r="121">
      <c r="A121" s="3" t="n">
        <v>120</v>
      </c>
      <c r="B121" s="3" t="inlineStr">
        <is>
          <t>2026-05-17</t>
        </is>
      </c>
      <c r="C121" s="14" t="n">
        <v>5.229764246905688e-05</v>
      </c>
    </row>
    <row r="122">
      <c r="A122" s="3" t="n">
        <v>121</v>
      </c>
      <c r="B122" s="3" t="inlineStr">
        <is>
          <t>2026-05-18</t>
        </is>
      </c>
      <c r="C122" s="14" t="n">
        <v>2.41290017584106e-05</v>
      </c>
    </row>
    <row r="123">
      <c r="A123" s="3" t="n">
        <v>122</v>
      </c>
      <c r="B123" s="3" t="inlineStr">
        <is>
          <t>2026-05-19</t>
        </is>
      </c>
      <c r="C123" s="14" t="n">
        <v>3.212552837794647e-05</v>
      </c>
    </row>
    <row r="124">
      <c r="A124" s="3" t="n">
        <v>123</v>
      </c>
      <c r="B124" s="3" t="inlineStr">
        <is>
          <t>2026-05-20</t>
        </is>
      </c>
      <c r="C124" s="14" t="n">
        <v>1.725046058709268e-05</v>
      </c>
    </row>
    <row r="125">
      <c r="A125" s="3" t="n">
        <v>124</v>
      </c>
      <c r="B125" s="3" t="inlineStr">
        <is>
          <t>2026-05-22</t>
        </is>
      </c>
      <c r="C125" s="14" t="n">
        <v>5.112206781632267e-05</v>
      </c>
    </row>
    <row r="126">
      <c r="A126" s="3" t="n">
        <v>125</v>
      </c>
      <c r="B126" s="3" t="inlineStr">
        <is>
          <t>2026-05-23</t>
        </is>
      </c>
      <c r="C126" s="14" t="n">
        <v>4.087301567778923e-05</v>
      </c>
    </row>
    <row r="127">
      <c r="A127" s="3" t="n">
        <v>126</v>
      </c>
      <c r="B127" s="3" t="inlineStr">
        <is>
          <t>2026-05-24</t>
        </is>
      </c>
      <c r="C127" s="14" t="n">
        <v>5.410167432273738e-05</v>
      </c>
    </row>
    <row r="128">
      <c r="A128" s="3" t="n">
        <v>127</v>
      </c>
      <c r="B128" s="3" t="inlineStr">
        <is>
          <t>2026-05-26</t>
        </is>
      </c>
      <c r="C128" s="14" t="n">
        <v>4.48784267064184e-05</v>
      </c>
    </row>
    <row r="129">
      <c r="A129" s="3" t="n">
        <v>128</v>
      </c>
      <c r="B129" s="3" t="inlineStr">
        <is>
          <t>2026-05-27</t>
        </is>
      </c>
      <c r="C129" s="14" t="n">
        <v>2.620396298880223e-05</v>
      </c>
    </row>
    <row r="130">
      <c r="A130" s="3" t="n">
        <v>129</v>
      </c>
      <c r="B130" s="3" t="inlineStr">
        <is>
          <t>2026-05-28</t>
        </is>
      </c>
      <c r="C130" s="14" t="n">
        <v>5.469840107252821e-05</v>
      </c>
    </row>
    <row r="131">
      <c r="A131" s="3" t="n">
        <v>130</v>
      </c>
      <c r="B131" s="3" t="inlineStr">
        <is>
          <t>2026-05-29</t>
        </is>
      </c>
      <c r="C131" s="14" t="n">
        <v>0.0001730057701934</v>
      </c>
    </row>
    <row r="132">
      <c r="A132" s="3" t="n">
        <v>131</v>
      </c>
      <c r="B132" s="3" t="inlineStr">
        <is>
          <t>2026-05-31</t>
        </is>
      </c>
      <c r="C132" s="14" t="n">
        <v>7.63781281420961e-05</v>
      </c>
    </row>
    <row r="133">
      <c r="A133" s="3" t="n">
        <v>132</v>
      </c>
      <c r="B133" s="3" t="inlineStr">
        <is>
          <t>2026-06-01</t>
        </is>
      </c>
      <c r="C133" s="14" t="n">
        <v>5.345389581634663e-05</v>
      </c>
    </row>
    <row r="134">
      <c r="A134" s="3" t="n">
        <v>133</v>
      </c>
      <c r="B134" s="3" t="inlineStr">
        <is>
          <t>2026-06-02</t>
        </is>
      </c>
      <c r="C134" s="14" t="n">
        <v>0.0001757289355737</v>
      </c>
    </row>
    <row r="135">
      <c r="A135" s="3" t="n">
        <v>134</v>
      </c>
      <c r="B135" s="3" t="inlineStr">
        <is>
          <t>2026-06-03</t>
        </is>
      </c>
      <c r="C135" s="14" t="n">
        <v>0.0001207239583891</v>
      </c>
    </row>
    <row r="136">
      <c r="A136" s="3" t="n">
        <v>135</v>
      </c>
      <c r="B136" s="3" t="inlineStr">
        <is>
          <t>2026-06-04</t>
        </is>
      </c>
      <c r="C136" s="14" t="n">
        <v>4.014758815173991e-05</v>
      </c>
    </row>
    <row r="137">
      <c r="A137" s="3" t="n">
        <v>136</v>
      </c>
      <c r="B137" s="3" t="inlineStr">
        <is>
          <t>2026-06-05</t>
        </is>
      </c>
      <c r="C137" s="14" t="n">
        <v>3.841371290036477e-05</v>
      </c>
    </row>
    <row r="138">
      <c r="A138" s="3" t="n">
        <v>137</v>
      </c>
      <c r="B138" s="3" t="inlineStr">
        <is>
          <t>2026-06-06</t>
        </is>
      </c>
      <c r="C138" s="14" t="n">
        <v>3.017579456354724e-05</v>
      </c>
    </row>
    <row r="139">
      <c r="A139" s="3" t="n">
        <v>138</v>
      </c>
      <c r="B139" s="3" t="inlineStr">
        <is>
          <t>2026-06-07</t>
        </is>
      </c>
      <c r="C139" s="14" t="n">
        <v>6.182188917591702e-05</v>
      </c>
    </row>
    <row r="140">
      <c r="A140" s="3" t="n">
        <v>139</v>
      </c>
      <c r="B140" s="3" t="inlineStr">
        <is>
          <t>2026-06-08</t>
        </is>
      </c>
      <c r="C140" s="14" t="n">
        <v>0.0001547022875456</v>
      </c>
    </row>
    <row r="141">
      <c r="A141" s="3" t="n">
        <v>140</v>
      </c>
      <c r="B141" s="3" t="inlineStr">
        <is>
          <t>2026-06-09</t>
        </is>
      </c>
      <c r="C141" s="14" t="n">
        <v>0.0001205387889058</v>
      </c>
    </row>
    <row r="142">
      <c r="A142" s="3" t="n">
        <v>141</v>
      </c>
      <c r="B142" s="3" t="inlineStr">
        <is>
          <t>2026-06-10</t>
        </is>
      </c>
      <c r="C142" s="14" t="n">
        <v>9.280368249164894e-05</v>
      </c>
    </row>
    <row r="143">
      <c r="A143" s="3" t="n">
        <v>142</v>
      </c>
      <c r="B143" s="3" t="inlineStr">
        <is>
          <t>2026-06-11</t>
        </is>
      </c>
      <c r="C143" s="14" t="n">
        <v>0.0001320113660767</v>
      </c>
    </row>
    <row r="144">
      <c r="A144" s="3" t="n">
        <v>143</v>
      </c>
      <c r="B144" s="3" t="inlineStr">
        <is>
          <t>2026-06-15</t>
        </is>
      </c>
      <c r="C144" s="14" t="n">
        <v>5.705734292860143e-05</v>
      </c>
    </row>
    <row r="145">
      <c r="A145" s="3" t="n">
        <v>144</v>
      </c>
      <c r="B145" s="3" t="inlineStr">
        <is>
          <t>2026-06-16</t>
        </is>
      </c>
      <c r="C145" s="14" t="n">
        <v>3.076312714256346e-05</v>
      </c>
    </row>
    <row r="146">
      <c r="A146" s="3" t="n">
        <v>145</v>
      </c>
      <c r="B146" s="3" t="inlineStr">
        <is>
          <t>2026-06-17</t>
        </is>
      </c>
      <c r="C146" s="14" t="n">
        <v>4.820393587579019e-05</v>
      </c>
    </row>
    <row r="147">
      <c r="A147" s="3" t="n">
        <v>146</v>
      </c>
      <c r="B147" s="3" t="inlineStr">
        <is>
          <t>2026-06-18</t>
        </is>
      </c>
      <c r="C147" s="14" t="n">
        <v>0.0001195388213091</v>
      </c>
    </row>
    <row r="148">
      <c r="A148" s="3" t="n">
        <v>147</v>
      </c>
      <c r="B148" s="3" t="inlineStr">
        <is>
          <t>2026-06-19</t>
        </is>
      </c>
      <c r="C148" s="14" t="n">
        <v>4.712036025011912e-05</v>
      </c>
    </row>
    <row r="149">
      <c r="A149" s="3" t="n">
        <v>148</v>
      </c>
      <c r="B149" s="3" t="inlineStr">
        <is>
          <t>2026-06-21</t>
        </is>
      </c>
      <c r="C149" s="14" t="n">
        <v>4.010703378298786e-05</v>
      </c>
    </row>
    <row r="150">
      <c r="A150" s="3" t="n">
        <v>149</v>
      </c>
      <c r="B150" s="3" t="inlineStr">
        <is>
          <t>2026-06-24</t>
        </is>
      </c>
      <c r="C150" s="14" t="n">
        <v>3.186772664776072e-05</v>
      </c>
    </row>
    <row r="151">
      <c r="A151" s="3" t="n">
        <v>150</v>
      </c>
      <c r="B151" s="3" t="inlineStr">
        <is>
          <t>2026-06-25</t>
        </is>
      </c>
      <c r="C151" s="14" t="n">
        <v>5.162947127246298e-05</v>
      </c>
    </row>
    <row r="152">
      <c r="A152" s="3" t="n">
        <v>151</v>
      </c>
      <c r="B152" s="3" t="inlineStr">
        <is>
          <t>2026-06-26</t>
        </is>
      </c>
      <c r="C152" s="14" t="n">
        <v>3.460039806668647e-05</v>
      </c>
    </row>
    <row r="153">
      <c r="A153" s="3" t="n">
        <v>152</v>
      </c>
      <c r="B153" s="3" t="inlineStr">
        <is>
          <t>2026-06-27</t>
        </is>
      </c>
      <c r="C153" s="14" t="n">
        <v>3.033310167666059e-05</v>
      </c>
    </row>
    <row r="154">
      <c r="A154" s="3" t="n">
        <v>153</v>
      </c>
      <c r="B154" s="3" t="inlineStr">
        <is>
          <t>2026-06-28</t>
        </is>
      </c>
      <c r="C154" s="14" t="n">
        <v>0.0001297437775065</v>
      </c>
    </row>
    <row r="155">
      <c r="A155" s="3" t="n">
        <v>154</v>
      </c>
      <c r="B155" s="3" t="inlineStr">
        <is>
          <t>2026-06-29</t>
        </is>
      </c>
      <c r="C155" s="14" t="n">
        <v>6.544875941472128e-05</v>
      </c>
    </row>
    <row r="156">
      <c r="A156" s="3" t="n">
        <v>155</v>
      </c>
      <c r="B156" s="3" t="inlineStr">
        <is>
          <t>2026-06-30</t>
        </is>
      </c>
      <c r="C156" s="14" t="n">
        <v>0.0001002896970021</v>
      </c>
    </row>
    <row r="157">
      <c r="A157" s="3" t="n">
        <v>156</v>
      </c>
      <c r="B157" s="3" t="inlineStr">
        <is>
          <t>2026-07-01</t>
        </is>
      </c>
      <c r="C157" s="14" t="n">
        <v>6.432638110709377e-05</v>
      </c>
    </row>
    <row r="158">
      <c r="A158" s="3" t="n">
        <v>157</v>
      </c>
      <c r="B158" s="3" t="inlineStr">
        <is>
          <t>2026-07-02</t>
        </is>
      </c>
      <c r="C158" s="14" t="n">
        <v>7.453940997947939e-05</v>
      </c>
    </row>
    <row r="159">
      <c r="A159" s="3" t="n">
        <v>158</v>
      </c>
      <c r="B159" s="3" t="inlineStr">
        <is>
          <t>2026-07-03</t>
        </is>
      </c>
      <c r="C159" s="14" t="n">
        <v>4.638536120182835e-05</v>
      </c>
    </row>
    <row r="160">
      <c r="A160" s="3" t="n">
        <v>159</v>
      </c>
      <c r="B160" s="3" t="inlineStr">
        <is>
          <t>2026-07-04</t>
        </is>
      </c>
      <c r="C160" s="14" t="n">
        <v>3.670712249004282e-05</v>
      </c>
    </row>
    <row r="161">
      <c r="A161" s="3" t="n">
        <v>160</v>
      </c>
      <c r="B161" s="3" t="inlineStr">
        <is>
          <t>2026-07-05</t>
        </is>
      </c>
      <c r="C161" s="14" t="n">
        <v>3.723176087078173e-05</v>
      </c>
    </row>
    <row r="162">
      <c r="A162" s="3" t="n">
        <v>161</v>
      </c>
      <c r="B162" s="3" t="inlineStr">
        <is>
          <t>2026-07-06</t>
        </is>
      </c>
      <c r="C162" s="14" t="n">
        <v>4.835586878471076e-05</v>
      </c>
    </row>
    <row r="163">
      <c r="A163" s="3" t="n">
        <v>162</v>
      </c>
      <c r="B163" s="3" t="inlineStr">
        <is>
          <t>2026-07-07</t>
        </is>
      </c>
      <c r="C163" s="14" t="n">
        <v>5.496430094353855e-05</v>
      </c>
    </row>
    <row r="164">
      <c r="A164" s="3" t="n">
        <v>163</v>
      </c>
      <c r="B164" s="3" t="inlineStr">
        <is>
          <t>2026-07-08</t>
        </is>
      </c>
      <c r="C164" s="14" t="n">
        <v>5.864201375516132e-05</v>
      </c>
    </row>
    <row r="165">
      <c r="A165" s="3" t="n">
        <v>164</v>
      </c>
      <c r="B165" s="3" t="inlineStr">
        <is>
          <t>2026-07-09</t>
        </is>
      </c>
      <c r="C165" s="14" t="n">
        <v>9.363806020701304e-05</v>
      </c>
    </row>
    <row r="166">
      <c r="A166" s="3" t="n">
        <v>165</v>
      </c>
      <c r="B166" s="3" t="inlineStr">
        <is>
          <t>2026-07-10</t>
        </is>
      </c>
      <c r="C166" s="14" t="n">
        <v>8.068122588156257e-05</v>
      </c>
    </row>
    <row r="167">
      <c r="A167" s="3" t="n">
        <v>166</v>
      </c>
      <c r="B167" s="3" t="inlineStr">
        <is>
          <t>2026-07-11</t>
        </is>
      </c>
      <c r="C167" s="14" t="n">
        <v>9.046475315699354e-05</v>
      </c>
    </row>
    <row r="168">
      <c r="A168" s="3" t="n">
        <v>167</v>
      </c>
      <c r="B168" s="3" t="inlineStr">
        <is>
          <t>2026-07-12</t>
        </is>
      </c>
      <c r="C168" s="14" t="n">
        <v>5.242495899437927e-05</v>
      </c>
    </row>
    <row r="169">
      <c r="A169" s="3" t="n">
        <v>168</v>
      </c>
      <c r="B169" s="3" t="inlineStr">
        <is>
          <t>2026-07-13</t>
        </is>
      </c>
      <c r="C169" s="14" t="n">
        <v>3.72178956240532e-05</v>
      </c>
    </row>
    <row r="170">
      <c r="A170" s="3" t="n">
        <v>169</v>
      </c>
      <c r="B170" s="3" t="inlineStr">
        <is>
          <t>2026-07-14</t>
        </is>
      </c>
      <c r="C170" s="14" t="n">
        <v>4.202614763926249e-05</v>
      </c>
    </row>
    <row r="171">
      <c r="A171" s="3" t="n">
        <v>170</v>
      </c>
      <c r="B171" s="3" t="inlineStr">
        <is>
          <t>2026-07-16</t>
        </is>
      </c>
      <c r="C171" s="14" t="n">
        <v>4.946908120473381e-05</v>
      </c>
    </row>
    <row r="172">
      <c r="A172" s="3" t="n">
        <v>171</v>
      </c>
      <c r="B172" s="3" t="inlineStr">
        <is>
          <t>2026-07-17</t>
        </is>
      </c>
      <c r="C172" s="14" t="n">
        <v>4.883371184405405e-05</v>
      </c>
    </row>
    <row r="173">
      <c r="A173" s="3" t="n">
        <v>172</v>
      </c>
      <c r="B173" s="3" t="inlineStr">
        <is>
          <t>2026-07-18</t>
        </is>
      </c>
      <c r="C173" s="14" t="n">
        <v>5.730714110541157e-05</v>
      </c>
    </row>
    <row r="174">
      <c r="A174" s="3" t="n">
        <v>173</v>
      </c>
      <c r="B174" s="3" t="inlineStr">
        <is>
          <t>2026-07-19</t>
        </is>
      </c>
      <c r="C174" s="14" t="n">
        <v>8.165447070496157e-05</v>
      </c>
    </row>
    <row r="175">
      <c r="A175" s="3" t="n">
        <v>174</v>
      </c>
      <c r="B175" s="3" t="inlineStr">
        <is>
          <t>2026-07-20</t>
        </is>
      </c>
      <c r="C175" s="14" t="n">
        <v>5.652124491462018e-05</v>
      </c>
    </row>
    <row r="176">
      <c r="A176" s="3" t="n">
        <v>175</v>
      </c>
      <c r="B176" s="3" t="inlineStr">
        <is>
          <t>2026-07-21</t>
        </is>
      </c>
      <c r="C176" s="14" t="n">
        <v>5.241200415184721e-05</v>
      </c>
    </row>
    <row r="177">
      <c r="A177" s="3" t="n">
        <v>176</v>
      </c>
      <c r="B177" s="3" t="inlineStr">
        <is>
          <t>2026-07-22</t>
        </is>
      </c>
      <c r="C177" s="14" t="n">
        <v>5.20381290698424e-05</v>
      </c>
    </row>
    <row r="178">
      <c r="A178" s="3" t="n">
        <v>177</v>
      </c>
      <c r="B178" s="3" t="inlineStr">
        <is>
          <t>2026-07-23</t>
        </is>
      </c>
      <c r="C178" s="14" t="n">
        <v>6.02661330049159e-05</v>
      </c>
    </row>
    <row r="179">
      <c r="A179" s="3" t="n">
        <v>178</v>
      </c>
      <c r="B179" s="3" t="inlineStr">
        <is>
          <t>2026-07-24</t>
        </is>
      </c>
      <c r="C179" s="14" t="n">
        <v>4.905428795609623e-05</v>
      </c>
    </row>
    <row r="180">
      <c r="A180" s="3" t="n">
        <v>179</v>
      </c>
      <c r="B180" s="3" t="inlineStr">
        <is>
          <t>2026-07-25</t>
        </is>
      </c>
      <c r="C180" s="14" t="n">
        <v>5.748111652792432e-05</v>
      </c>
    </row>
    <row r="181">
      <c r="A181" s="3" t="n">
        <v>180</v>
      </c>
      <c r="B181" s="3" t="inlineStr">
        <is>
          <t>2026-07-26</t>
        </is>
      </c>
      <c r="C181" s="14" t="n">
        <v>5.735923514293973e-05</v>
      </c>
    </row>
    <row r="182">
      <c r="A182" s="3" t="n">
        <v>181</v>
      </c>
      <c r="B182" s="3" t="inlineStr">
        <is>
          <t>2026-07-29</t>
        </is>
      </c>
      <c r="C182" s="14" t="n">
        <v>3.690103312692372e-05</v>
      </c>
    </row>
    <row r="183">
      <c r="A183" s="3" t="n">
        <v>182</v>
      </c>
      <c r="B183" s="3" t="inlineStr">
        <is>
          <t>2026-07-30</t>
        </is>
      </c>
      <c r="C183" s="14" t="n">
        <v>6.262480746954679e-05</v>
      </c>
    </row>
    <row r="184">
      <c r="A184" s="3" t="n">
        <v>183</v>
      </c>
      <c r="B184" s="3" t="inlineStr">
        <is>
          <t>2026-07-31</t>
        </is>
      </c>
      <c r="C184" s="14" t="n">
        <v>4.523694587987848e-05</v>
      </c>
    </row>
    <row r="185">
      <c r="A185" s="3" t="n">
        <v>184</v>
      </c>
      <c r="B185" s="3" t="inlineStr">
        <is>
          <t>2026-08-04</t>
        </is>
      </c>
      <c r="C185" s="14" t="n">
        <v>3.890187144861557e-05</v>
      </c>
    </row>
    <row r="186">
      <c r="A186" s="3" t="n">
        <v>185</v>
      </c>
      <c r="B186" s="3" t="inlineStr">
        <is>
          <t>2026-08-05</t>
        </is>
      </c>
      <c r="C186" s="14" t="n">
        <v>4.628071474144235e-05</v>
      </c>
    </row>
    <row r="187">
      <c r="A187" s="3" t="n">
        <v>186</v>
      </c>
      <c r="B187" s="3" t="inlineStr">
        <is>
          <t>2026-08-06</t>
        </is>
      </c>
      <c r="C187" s="14" t="n">
        <v>5.27234842593316e-05</v>
      </c>
    </row>
    <row r="188">
      <c r="A188" s="3" t="n">
        <v>187</v>
      </c>
      <c r="B188" s="3" t="inlineStr">
        <is>
          <t>2026-08-07</t>
        </is>
      </c>
      <c r="C188" s="14" t="n">
        <v>5.81879048695555e-05</v>
      </c>
    </row>
    <row r="189">
      <c r="A189" s="3" t="n">
        <v>188</v>
      </c>
      <c r="B189" s="3" t="inlineStr">
        <is>
          <t>2026-08-08</t>
        </is>
      </c>
      <c r="C189" s="14" t="n">
        <v>5.639576920657419e-05</v>
      </c>
    </row>
    <row r="190">
      <c r="A190" s="3" t="n">
        <v>189</v>
      </c>
      <c r="B190" s="3" t="inlineStr">
        <is>
          <t>2026-08-09</t>
        </is>
      </c>
      <c r="C190" s="14" t="n">
        <v>5.579221215157304e-05</v>
      </c>
    </row>
    <row r="191">
      <c r="A191" s="3" t="n">
        <v>190</v>
      </c>
      <c r="B191" s="3" t="inlineStr">
        <is>
          <t>2026-08-11</t>
        </is>
      </c>
      <c r="C191" s="14" t="n">
        <v>6.237933484953828e-05</v>
      </c>
    </row>
    <row r="192">
      <c r="A192" s="3" t="n">
        <v>191</v>
      </c>
      <c r="B192" s="3" t="inlineStr">
        <is>
          <t>2026-08-12</t>
        </is>
      </c>
      <c r="C192" s="14" t="n">
        <v>6.420894351322204e-05</v>
      </c>
    </row>
    <row r="193">
      <c r="A193" s="3" t="n">
        <v>192</v>
      </c>
      <c r="B193" s="3" t="inlineStr">
        <is>
          <t>2026-08-13</t>
        </is>
      </c>
      <c r="C193" s="14" t="n">
        <v>5.696746666217223e-05</v>
      </c>
    </row>
    <row r="194">
      <c r="A194" s="3" t="n">
        <v>193</v>
      </c>
      <c r="B194" s="3" t="inlineStr">
        <is>
          <t>2026-08-14</t>
        </is>
      </c>
      <c r="C194" s="14" t="n">
        <v>4.691691174230073e-05</v>
      </c>
    </row>
    <row r="195">
      <c r="A195" s="3" t="n">
        <v>194</v>
      </c>
      <c r="B195" s="3" t="inlineStr">
        <is>
          <t>2026-08-15</t>
        </is>
      </c>
      <c r="C195" s="14" t="n">
        <v>8.274015272036195e-05</v>
      </c>
    </row>
    <row r="196">
      <c r="A196" s="3" t="n">
        <v>195</v>
      </c>
      <c r="B196" s="3" t="inlineStr">
        <is>
          <t>2026-08-16</t>
        </is>
      </c>
      <c r="C196" s="14" t="n">
        <v>3.477284917607903e-05</v>
      </c>
    </row>
    <row r="197">
      <c r="A197" s="3" t="n">
        <v>196</v>
      </c>
      <c r="B197" s="3" t="inlineStr">
        <is>
          <t>2026-08-17</t>
        </is>
      </c>
      <c r="C197" s="14" t="n">
        <v>3.306724829599261e-05</v>
      </c>
    </row>
    <row r="198">
      <c r="A198" s="3" t="n">
        <v>197</v>
      </c>
      <c r="B198" s="3" t="inlineStr">
        <is>
          <t>2026-08-20</t>
        </is>
      </c>
      <c r="C198" s="14" t="n">
        <v>3.022939290531212e-05</v>
      </c>
    </row>
    <row r="199">
      <c r="A199" s="3" t="n">
        <v>198</v>
      </c>
      <c r="B199" s="3" t="inlineStr">
        <is>
          <t>2026-08-21</t>
        </is>
      </c>
      <c r="C199" s="14" t="n">
        <v>2.994918941112701e-05</v>
      </c>
    </row>
    <row r="200">
      <c r="A200" s="3" t="n">
        <v>199</v>
      </c>
      <c r="B200" s="3" t="inlineStr">
        <is>
          <t>2026-08-22</t>
        </is>
      </c>
      <c r="C200" s="14" t="n">
        <v>3.762491905945353e-05</v>
      </c>
    </row>
    <row r="201">
      <c r="A201" s="3" t="n">
        <v>200</v>
      </c>
      <c r="B201" s="3" t="inlineStr">
        <is>
          <t>2026-08-23</t>
        </is>
      </c>
      <c r="C201" s="14" t="n">
        <v>5.280437653709669e-05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5" customWidth="1" min="4" max="4"/>
    <col width="46" customWidth="1" min="5" max="5"/>
    <col width="26" customWidth="1" min="6" max="6"/>
  </cols>
  <sheetData>
    <row r="1">
      <c r="A1" s="1" t="inlineStr">
        <is>
          <t>No</t>
        </is>
      </c>
      <c r="B1" s="1" t="inlineStr">
        <is>
          <t>Tanggal (Date)</t>
        </is>
      </c>
      <c r="C1" s="1" t="inlineStr">
        <is>
          <t>Konsentrasi SO2</t>
        </is>
      </c>
      <c r="E1" s="2" t="inlineStr">
        <is>
          <t>Indikator Statistik Deskriptif</t>
        </is>
      </c>
      <c r="F1" s="2" t="inlineStr">
        <is>
          <t>Hasil Hitungan Excel</t>
        </is>
      </c>
    </row>
    <row r="2">
      <c r="A2" s="3" t="n">
        <v>1</v>
      </c>
      <c r="B2" s="3" t="inlineStr">
        <is>
          <t>2025-08-24</t>
        </is>
      </c>
      <c r="C2" s="14" t="n">
        <v>0.0002714305883273</v>
      </c>
      <c r="E2" s="5" t="inlineStr">
        <is>
          <t>Banyaknya Data Valid (N)</t>
        </is>
      </c>
      <c r="F2" s="6">
        <f>COUNT(C2:C236)</f>
        <v/>
      </c>
    </row>
    <row r="3">
      <c r="A3" s="3" t="n">
        <v>2</v>
      </c>
      <c r="B3" s="3" t="inlineStr">
        <is>
          <t>2025-08-25</t>
        </is>
      </c>
      <c r="C3" s="14" t="n">
        <v>0.0005862038233317</v>
      </c>
      <c r="E3" s="5" t="inlineStr">
        <is>
          <t>Minimum (Min)</t>
        </is>
      </c>
      <c r="F3" s="15">
        <f>MIN(C2:C236)</f>
        <v/>
      </c>
    </row>
    <row r="4">
      <c r="A4" s="3" t="n">
        <v>3</v>
      </c>
      <c r="B4" s="3" t="inlineStr">
        <is>
          <t>2025-08-26</t>
        </is>
      </c>
      <c r="C4" s="14" t="n">
        <v>0.0013800200540572</v>
      </c>
      <c r="E4" s="5" t="inlineStr">
        <is>
          <t>Maksimum (Max)</t>
        </is>
      </c>
      <c r="F4" s="15">
        <f>MAX(C2:C236)</f>
        <v/>
      </c>
    </row>
    <row r="5">
      <c r="A5" s="3" t="n">
        <v>4</v>
      </c>
      <c r="B5" s="3" t="inlineStr">
        <is>
          <t>2025-08-27</t>
        </is>
      </c>
      <c r="C5" s="14" t="n">
        <v>9.396505993208848e-05</v>
      </c>
      <c r="E5" s="5" t="inlineStr">
        <is>
          <t>Rata-Rata (Mean / X_bar)</t>
        </is>
      </c>
      <c r="F5" s="15">
        <f>AVERAGE(C2:C236)</f>
        <v/>
      </c>
    </row>
    <row r="6">
      <c r="A6" s="3" t="n">
        <v>5</v>
      </c>
      <c r="B6" s="3" t="inlineStr">
        <is>
          <t>2025-08-28</t>
        </is>
      </c>
      <c r="C6" s="14" t="n">
        <v>-8.03884795459453e-05</v>
      </c>
      <c r="E6" s="5" t="inlineStr">
        <is>
          <t>Nilai Tengah (Median / Me)</t>
        </is>
      </c>
      <c r="F6" s="15">
        <f>MEDIAN(C2:C236)</f>
        <v/>
      </c>
    </row>
    <row r="7">
      <c r="A7" s="3" t="n">
        <v>6</v>
      </c>
      <c r="B7" s="3" t="inlineStr">
        <is>
          <t>2025-08-29</t>
        </is>
      </c>
      <c r="C7" s="14" t="n">
        <v>0.000466496698209</v>
      </c>
      <c r="E7" s="5" t="inlineStr">
        <is>
          <t>Variansi Sampel (s^2)</t>
        </is>
      </c>
      <c r="F7" s="15">
        <f>VAR(C2:C236)</f>
        <v/>
      </c>
    </row>
    <row r="8">
      <c r="A8" s="3" t="n">
        <v>7</v>
      </c>
      <c r="B8" s="3" t="inlineStr">
        <is>
          <t>2025-08-30</t>
        </is>
      </c>
      <c r="C8" s="14" t="n">
        <v>0.0001477563164371</v>
      </c>
      <c r="E8" s="5" t="inlineStr">
        <is>
          <t>Standar Deviasi Sampel (s)</t>
        </is>
      </c>
      <c r="F8" s="15">
        <f>STDEV(C2:C236)</f>
        <v/>
      </c>
    </row>
    <row r="9">
      <c r="A9" s="3" t="n">
        <v>8</v>
      </c>
      <c r="B9" s="3" t="inlineStr">
        <is>
          <t>2025-08-31</t>
        </is>
      </c>
      <c r="C9" s="14" t="n">
        <v>-0.0005712934944313</v>
      </c>
      <c r="E9" s="5" t="inlineStr">
        <is>
          <t>Kemiringan (Skewness / S_k)</t>
        </is>
      </c>
      <c r="F9" s="15">
        <f>SKEW(C2:C236)</f>
        <v/>
      </c>
    </row>
    <row r="10">
      <c r="A10" s="3" t="n">
        <v>9</v>
      </c>
      <c r="B10" s="3" t="inlineStr">
        <is>
          <t>2025-09-01</t>
        </is>
      </c>
      <c r="C10" s="14" t="n">
        <v>-0.0003547481319401</v>
      </c>
      <c r="E10" s="5" t="inlineStr">
        <is>
          <t>Keruncingan (Kurtosis / K)</t>
        </is>
      </c>
      <c r="F10" s="15">
        <f>KURT(C2:C236)</f>
        <v/>
      </c>
    </row>
    <row r="11">
      <c r="A11" s="3" t="n">
        <v>10</v>
      </c>
      <c r="B11" s="3" t="inlineStr">
        <is>
          <t>2025-09-03</t>
        </is>
      </c>
      <c r="C11" s="14" t="n">
        <v>0.0001157562728621</v>
      </c>
      <c r="E11" s="5" t="inlineStr">
        <is>
          <t>Konstanta Pengali Sturges (c = 1 / log10(2))</t>
        </is>
      </c>
      <c r="F11" s="8" t="n">
        <v>3.322</v>
      </c>
    </row>
    <row r="12">
      <c r="A12" s="3" t="n">
        <v>11</v>
      </c>
      <c r="B12" s="3" t="inlineStr">
        <is>
          <t>2025-09-04</t>
        </is>
      </c>
      <c r="C12" s="14" t="n">
        <v>0.0003544440260156</v>
      </c>
      <c r="E12" s="5" t="inlineStr">
        <is>
          <t>Jumlah Kelas Sturges (k)</t>
        </is>
      </c>
      <c r="F12" s="9">
        <f>1+F11*LOG10(F2)</f>
        <v/>
      </c>
    </row>
    <row r="13">
      <c r="A13" s="3" t="n">
        <v>12</v>
      </c>
      <c r="B13" s="3" t="inlineStr">
        <is>
          <t>2025-09-05</t>
        </is>
      </c>
      <c r="C13" s="14" t="n">
        <v>0.0001847462699515</v>
      </c>
      <c r="E13" s="5" t="inlineStr">
        <is>
          <t>Lebar Kelas Interval (W)</t>
        </is>
      </c>
      <c r="F13" s="15">
        <f>(F4-F3)/F12</f>
        <v/>
      </c>
    </row>
    <row r="14">
      <c r="A14" s="3" t="n">
        <v>13</v>
      </c>
      <c r="B14" s="3" t="inlineStr">
        <is>
          <t>2025-09-09</t>
        </is>
      </c>
      <c r="C14" s="14" t="n">
        <v>-2.773070082184858e-05</v>
      </c>
    </row>
    <row r="15">
      <c r="A15" s="3" t="n">
        <v>14</v>
      </c>
      <c r="B15" s="3" t="inlineStr">
        <is>
          <t>2025-09-10</t>
        </is>
      </c>
      <c r="C15" s="14" t="n">
        <v>2.167784987250343e-05</v>
      </c>
      <c r="E15" s="10" t="inlineStr">
        <is>
          <t>* Catatan Informasi Sturges Rule:</t>
        </is>
      </c>
    </row>
    <row r="16">
      <c r="A16" s="3" t="n">
        <v>15</v>
      </c>
      <c r="B16" s="3" t="inlineStr">
        <is>
          <t>2025-09-11</t>
        </is>
      </c>
      <c r="C16" s="14" t="n">
        <v>0.0005460459506139</v>
      </c>
      <c r="E16" s="11" t="inlineStr">
        <is>
          <t>1. Sel F11 memuat nilai terbuka Konstanta Pengali Sturges (c = 3.322 = 1 / log10(2)).
2. Sel F12 menghitung Jumlah Kelas Sturges k = 1 + F11 * LOG10(N) secara otomatis dengan mengacu pada Sel F11 (Konstanta c) dan Sel F2 (Data Valid N).</t>
        </is>
      </c>
    </row>
    <row r="17">
      <c r="A17" s="3" t="n">
        <v>16</v>
      </c>
      <c r="B17" s="3" t="inlineStr">
        <is>
          <t>2025-09-12</t>
        </is>
      </c>
      <c r="C17" s="14" t="n">
        <v>0.0002328329283045</v>
      </c>
    </row>
    <row r="18">
      <c r="A18" s="3" t="n">
        <v>17</v>
      </c>
      <c r="B18" s="3" t="inlineStr">
        <is>
          <t>2025-09-13</t>
        </is>
      </c>
      <c r="C18" s="14" t="n">
        <v>-5.713580685551278e-05</v>
      </c>
    </row>
    <row r="19">
      <c r="A19" s="3" t="n">
        <v>18</v>
      </c>
      <c r="B19" s="3" t="inlineStr">
        <is>
          <t>2025-09-14</t>
        </is>
      </c>
      <c r="C19" s="14" t="n">
        <v>8.849166442814749e-05</v>
      </c>
    </row>
    <row r="20">
      <c r="A20" s="3" t="n">
        <v>19</v>
      </c>
      <c r="B20" s="3" t="inlineStr">
        <is>
          <t>2025-09-15</t>
        </is>
      </c>
      <c r="C20" s="14" t="n">
        <v>-0.0001154926576418</v>
      </c>
    </row>
    <row r="21">
      <c r="A21" s="3" t="n">
        <v>20</v>
      </c>
      <c r="B21" s="3" t="inlineStr">
        <is>
          <t>2025-09-16</t>
        </is>
      </c>
      <c r="C21" s="14" t="n">
        <v>-7.144935671021813e-05</v>
      </c>
    </row>
    <row r="22">
      <c r="A22" s="3" t="n">
        <v>21</v>
      </c>
      <c r="B22" s="3" t="inlineStr">
        <is>
          <t>2025-09-18</t>
        </is>
      </c>
      <c r="C22" s="14" t="n">
        <v>-5.646849240292795e-05</v>
      </c>
    </row>
    <row r="23">
      <c r="A23" s="3" t="n">
        <v>22</v>
      </c>
      <c r="B23" s="3" t="inlineStr">
        <is>
          <t>2025-09-21</t>
        </is>
      </c>
      <c r="C23" s="14" t="n">
        <v>1.952418824657797e-05</v>
      </c>
    </row>
    <row r="24">
      <c r="A24" s="3" t="n">
        <v>23</v>
      </c>
      <c r="B24" s="3" t="inlineStr">
        <is>
          <t>2025-09-22</t>
        </is>
      </c>
      <c r="C24" s="14" t="n">
        <v>0.0004542746610241</v>
      </c>
    </row>
    <row r="25">
      <c r="A25" s="3" t="n">
        <v>24</v>
      </c>
      <c r="B25" s="3" t="inlineStr">
        <is>
          <t>2025-09-23</t>
        </is>
      </c>
      <c r="C25" s="14" t="n">
        <v>0.0003169341071043</v>
      </c>
    </row>
    <row r="26">
      <c r="A26" s="3" t="n">
        <v>25</v>
      </c>
      <c r="B26" s="3" t="inlineStr">
        <is>
          <t>2025-09-24</t>
        </is>
      </c>
      <c r="C26" s="14" t="n">
        <v>0.0001856671951827</v>
      </c>
    </row>
    <row r="27">
      <c r="A27" s="3" t="n">
        <v>26</v>
      </c>
      <c r="B27" s="3" t="inlineStr">
        <is>
          <t>2025-09-25</t>
        </is>
      </c>
      <c r="C27" s="14" t="n">
        <v>-0.0001383910275762</v>
      </c>
    </row>
    <row r="28">
      <c r="A28" s="3" t="n">
        <v>27</v>
      </c>
      <c r="B28" s="3" t="inlineStr">
        <is>
          <t>2025-09-26</t>
        </is>
      </c>
      <c r="C28" s="14" t="n">
        <v>-0.0001445161578885</v>
      </c>
    </row>
    <row r="29">
      <c r="A29" s="3" t="n">
        <v>28</v>
      </c>
      <c r="B29" s="3" t="inlineStr">
        <is>
          <t>2025-09-27</t>
        </is>
      </c>
      <c r="C29" s="14" t="n">
        <v>0.0005934085347689</v>
      </c>
    </row>
    <row r="30">
      <c r="A30" s="3" t="n">
        <v>29</v>
      </c>
      <c r="B30" s="3" t="inlineStr">
        <is>
          <t>2025-09-28</t>
        </is>
      </c>
      <c r="C30" s="14" t="n">
        <v>-6.643059168709442e-05</v>
      </c>
    </row>
    <row r="31">
      <c r="A31" s="3" t="n">
        <v>30</v>
      </c>
      <c r="B31" s="3" t="inlineStr">
        <is>
          <t>2025-09-29</t>
        </is>
      </c>
      <c r="C31" s="14" t="n">
        <v>-0.0002645677741384</v>
      </c>
    </row>
    <row r="32">
      <c r="A32" s="3" t="n">
        <v>31</v>
      </c>
      <c r="B32" s="3" t="inlineStr">
        <is>
          <t>2025-10-02</t>
        </is>
      </c>
      <c r="C32" s="14" t="n">
        <v>-0.0001853978319559</v>
      </c>
    </row>
    <row r="33">
      <c r="A33" s="3" t="n">
        <v>32</v>
      </c>
      <c r="B33" s="3" t="inlineStr">
        <is>
          <t>2025-10-03</t>
        </is>
      </c>
      <c r="C33" s="14" t="n">
        <v>-0.000225117924856</v>
      </c>
    </row>
    <row r="34">
      <c r="A34" s="3" t="n">
        <v>33</v>
      </c>
      <c r="B34" s="3" t="inlineStr">
        <is>
          <t>2025-10-04</t>
        </is>
      </c>
      <c r="C34" s="14" t="n">
        <v>-0.0001697827683528</v>
      </c>
    </row>
    <row r="35">
      <c r="A35" s="3" t="n">
        <v>34</v>
      </c>
      <c r="B35" s="3" t="inlineStr">
        <is>
          <t>2025-10-05</t>
        </is>
      </c>
      <c r="C35" s="14" t="n">
        <v>-8.109231202979572e-05</v>
      </c>
    </row>
    <row r="36">
      <c r="A36" s="3" t="n">
        <v>35</v>
      </c>
      <c r="B36" s="3" t="inlineStr">
        <is>
          <t>2025-10-06</t>
        </is>
      </c>
      <c r="C36" s="14" t="n">
        <v>-8.66418777150102e-05</v>
      </c>
    </row>
    <row r="37">
      <c r="A37" s="3" t="n">
        <v>36</v>
      </c>
      <c r="B37" s="3" t="inlineStr">
        <is>
          <t>2025-10-07</t>
        </is>
      </c>
      <c r="C37" s="14" t="n">
        <v>0.000253807840636</v>
      </c>
    </row>
    <row r="38">
      <c r="A38" s="3" t="n">
        <v>37</v>
      </c>
      <c r="B38" s="3" t="inlineStr">
        <is>
          <t>2025-10-08</t>
        </is>
      </c>
      <c r="C38" s="14" t="n">
        <v>0.0001654163061175</v>
      </c>
    </row>
    <row r="39">
      <c r="A39" s="3" t="n">
        <v>38</v>
      </c>
      <c r="B39" s="3" t="inlineStr">
        <is>
          <t>2025-10-09</t>
        </is>
      </c>
      <c r="C39" s="14" t="n">
        <v>9.272317754493996e-05</v>
      </c>
    </row>
    <row r="40">
      <c r="A40" s="3" t="n">
        <v>39</v>
      </c>
      <c r="B40" s="3" t="inlineStr">
        <is>
          <t>2025-10-10</t>
        </is>
      </c>
      <c r="C40" s="14" t="n">
        <v>0.0001952350221472</v>
      </c>
    </row>
    <row r="41">
      <c r="A41" s="3" t="n">
        <v>40</v>
      </c>
      <c r="B41" s="3" t="inlineStr">
        <is>
          <t>2025-10-11</t>
        </is>
      </c>
      <c r="C41" s="14" t="n">
        <v>5.669017537002219e-05</v>
      </c>
    </row>
    <row r="42">
      <c r="A42" s="3" t="n">
        <v>41</v>
      </c>
      <c r="B42" s="3" t="inlineStr">
        <is>
          <t>2025-10-12</t>
        </is>
      </c>
      <c r="C42" s="14" t="n">
        <v>-0.0002100943820551</v>
      </c>
    </row>
    <row r="43">
      <c r="A43" s="3" t="n">
        <v>42</v>
      </c>
      <c r="B43" s="3" t="inlineStr">
        <is>
          <t>2025-10-14</t>
        </is>
      </c>
      <c r="C43" s="14" t="n">
        <v>0.0001114107726607</v>
      </c>
    </row>
    <row r="44">
      <c r="A44" s="3" t="n">
        <v>43</v>
      </c>
      <c r="B44" s="3" t="inlineStr">
        <is>
          <t>2025-10-15</t>
        </is>
      </c>
      <c r="C44" s="14" t="n">
        <v>3.134119469905272e-05</v>
      </c>
    </row>
    <row r="45">
      <c r="A45" s="3" t="n">
        <v>44</v>
      </c>
      <c r="B45" s="3" t="inlineStr">
        <is>
          <t>2025-10-16</t>
        </is>
      </c>
      <c r="C45" s="14" t="n">
        <v>2.50639777732431e-05</v>
      </c>
    </row>
    <row r="46">
      <c r="A46" s="3" t="n">
        <v>45</v>
      </c>
      <c r="B46" s="3" t="inlineStr">
        <is>
          <t>2025-10-17</t>
        </is>
      </c>
      <c r="C46" s="14" t="n">
        <v>-3.151290002278984e-05</v>
      </c>
    </row>
    <row r="47">
      <c r="A47" s="3" t="n">
        <v>46</v>
      </c>
      <c r="B47" s="3" t="inlineStr">
        <is>
          <t>2025-10-18</t>
        </is>
      </c>
      <c r="C47" s="14" t="n">
        <v>-0.0004864226939389</v>
      </c>
    </row>
    <row r="48">
      <c r="A48" s="3" t="n">
        <v>47</v>
      </c>
      <c r="B48" s="3" t="inlineStr">
        <is>
          <t>2025-10-19</t>
        </is>
      </c>
      <c r="C48" s="14" t="n">
        <v>-0.0001738631399348</v>
      </c>
    </row>
    <row r="49">
      <c r="A49" s="3" t="n">
        <v>48</v>
      </c>
      <c r="B49" s="3" t="inlineStr">
        <is>
          <t>2025-10-23</t>
        </is>
      </c>
      <c r="C49" s="14" t="n">
        <v>0.0002674715942703</v>
      </c>
    </row>
    <row r="50">
      <c r="A50" s="3" t="n">
        <v>49</v>
      </c>
      <c r="B50" s="3" t="inlineStr">
        <is>
          <t>2025-10-26</t>
        </is>
      </c>
      <c r="C50" s="14" t="n">
        <v>-3.787710375036113e-05</v>
      </c>
    </row>
    <row r="51">
      <c r="A51" s="3" t="n">
        <v>50</v>
      </c>
      <c r="B51" s="3" t="inlineStr">
        <is>
          <t>2025-10-28</t>
        </is>
      </c>
      <c r="C51" s="14" t="n">
        <v>-0.0005152319063199</v>
      </c>
    </row>
    <row r="52">
      <c r="A52" s="3" t="n">
        <v>51</v>
      </c>
      <c r="B52" s="3" t="inlineStr">
        <is>
          <t>2025-11-04</t>
        </is>
      </c>
      <c r="C52" s="14" t="n">
        <v>-0.0001400454202666</v>
      </c>
    </row>
    <row r="53">
      <c r="A53" s="3" t="n">
        <v>52</v>
      </c>
      <c r="B53" s="3" t="inlineStr">
        <is>
          <t>2025-11-05</t>
        </is>
      </c>
      <c r="C53" s="14" t="n">
        <v>0.0002548404463595</v>
      </c>
    </row>
    <row r="54">
      <c r="A54" s="3" t="n">
        <v>53</v>
      </c>
      <c r="B54" s="3" t="inlineStr">
        <is>
          <t>2025-11-07</t>
        </is>
      </c>
      <c r="C54" s="14" t="n">
        <v>0.0003171853895764</v>
      </c>
    </row>
    <row r="55">
      <c r="A55" s="3" t="n">
        <v>54</v>
      </c>
      <c r="B55" s="3" t="inlineStr">
        <is>
          <t>2025-11-18</t>
        </is>
      </c>
      <c r="C55" s="14" t="n">
        <v>0.0002252848353236</v>
      </c>
    </row>
    <row r="56">
      <c r="A56" s="3" t="n">
        <v>55</v>
      </c>
      <c r="B56" s="3" t="inlineStr">
        <is>
          <t>2025-11-19</t>
        </is>
      </c>
      <c r="C56" s="14" t="n">
        <v>0.0005775167956016</v>
      </c>
    </row>
    <row r="57">
      <c r="A57" s="3" t="n">
        <v>56</v>
      </c>
      <c r="B57" s="3" t="inlineStr">
        <is>
          <t>2025-11-20</t>
        </is>
      </c>
      <c r="C57" s="14" t="n">
        <v>7.359649862337392e-05</v>
      </c>
    </row>
    <row r="58">
      <c r="A58" s="3" t="n">
        <v>57</v>
      </c>
      <c r="B58" s="3" t="inlineStr">
        <is>
          <t>2025-11-21</t>
        </is>
      </c>
      <c r="C58" s="14" t="n">
        <v>8.266291115432978e-05</v>
      </c>
    </row>
    <row r="59">
      <c r="A59" s="3" t="n">
        <v>58</v>
      </c>
      <c r="B59" s="3" t="inlineStr">
        <is>
          <t>2025-12-03</t>
        </is>
      </c>
      <c r="C59" s="14" t="n">
        <v>-5.075097760709468e-06</v>
      </c>
    </row>
    <row r="60">
      <c r="A60" s="3" t="n">
        <v>59</v>
      </c>
      <c r="B60" s="3" t="inlineStr">
        <is>
          <t>2025-12-05</t>
        </is>
      </c>
      <c r="C60" s="14" t="n">
        <v>-2.888344170060009e-05</v>
      </c>
    </row>
    <row r="61">
      <c r="A61" s="3" t="n">
        <v>60</v>
      </c>
      <c r="B61" s="3" t="inlineStr">
        <is>
          <t>2025-12-06</t>
        </is>
      </c>
      <c r="C61" s="14" t="n">
        <v>-0.0002761316427495</v>
      </c>
    </row>
    <row r="62">
      <c r="A62" s="3" t="n">
        <v>61</v>
      </c>
      <c r="B62" s="3" t="inlineStr">
        <is>
          <t>2025-12-07</t>
        </is>
      </c>
      <c r="C62" s="14" t="n">
        <v>-4.562141839414835e-05</v>
      </c>
    </row>
    <row r="63">
      <c r="A63" s="3" t="n">
        <v>62</v>
      </c>
      <c r="B63" s="3" t="inlineStr">
        <is>
          <t>2025-12-08</t>
        </is>
      </c>
      <c r="C63" s="14" t="n">
        <v>0.0002776817600533</v>
      </c>
    </row>
    <row r="64">
      <c r="A64" s="3" t="n">
        <v>63</v>
      </c>
      <c r="B64" s="3" t="inlineStr">
        <is>
          <t>2025-12-10</t>
        </is>
      </c>
      <c r="C64" s="14" t="n">
        <v>0.0001473318843636</v>
      </c>
    </row>
    <row r="65">
      <c r="A65" s="3" t="n">
        <v>64</v>
      </c>
      <c r="B65" s="3" t="inlineStr">
        <is>
          <t>2025-12-11</t>
        </is>
      </c>
      <c r="C65" s="14" t="n">
        <v>0.0001089241559384</v>
      </c>
    </row>
    <row r="66">
      <c r="A66" s="3" t="n">
        <v>65</v>
      </c>
      <c r="B66" s="3" t="inlineStr">
        <is>
          <t>2025-12-12</t>
        </is>
      </c>
      <c r="C66" s="14" t="n">
        <v>4.831236310565146e-05</v>
      </c>
    </row>
    <row r="67">
      <c r="A67" s="3" t="n">
        <v>66</v>
      </c>
      <c r="B67" s="3" t="inlineStr">
        <is>
          <t>2025-12-13</t>
        </is>
      </c>
      <c r="C67" s="14" t="n">
        <v>0.0001385094547003</v>
      </c>
    </row>
    <row r="68">
      <c r="A68" s="3" t="n">
        <v>67</v>
      </c>
      <c r="B68" s="3" t="inlineStr">
        <is>
          <t>2025-12-15</t>
        </is>
      </c>
      <c r="C68" s="14" t="n">
        <v>-8.962632273323834e-05</v>
      </c>
    </row>
    <row r="69">
      <c r="A69" s="3" t="n">
        <v>68</v>
      </c>
      <c r="B69" s="3" t="inlineStr">
        <is>
          <t>2025-12-17</t>
        </is>
      </c>
      <c r="C69" s="14" t="n">
        <v>0.000157540449436</v>
      </c>
    </row>
    <row r="70">
      <c r="A70" s="3" t="n">
        <v>69</v>
      </c>
      <c r="B70" s="3" t="inlineStr">
        <is>
          <t>2025-12-21</t>
        </is>
      </c>
      <c r="C70" s="14" t="n">
        <v>0.0003291399771114</v>
      </c>
    </row>
    <row r="71">
      <c r="A71" s="3" t="n">
        <v>70</v>
      </c>
      <c r="B71" s="3" t="inlineStr">
        <is>
          <t>2025-12-22</t>
        </is>
      </c>
      <c r="C71" s="14" t="n">
        <v>0.0001715039452392</v>
      </c>
    </row>
    <row r="72">
      <c r="A72" s="3" t="n">
        <v>71</v>
      </c>
      <c r="B72" s="3" t="inlineStr">
        <is>
          <t>2025-12-23</t>
        </is>
      </c>
      <c r="C72" s="14" t="n">
        <v>0.0001797455188352</v>
      </c>
    </row>
    <row r="73">
      <c r="A73" s="3" t="n">
        <v>72</v>
      </c>
      <c r="B73" s="3" t="inlineStr">
        <is>
          <t>2025-12-24</t>
        </is>
      </c>
      <c r="C73" s="14" t="n">
        <v>0.0002576839615358</v>
      </c>
    </row>
    <row r="74">
      <c r="A74" s="3" t="n">
        <v>73</v>
      </c>
      <c r="B74" s="3" t="inlineStr">
        <is>
          <t>2025-12-25</t>
        </is>
      </c>
      <c r="C74" s="14" t="n">
        <v>3.874264075420797e-05</v>
      </c>
    </row>
    <row r="75">
      <c r="A75" s="3" t="n">
        <v>74</v>
      </c>
      <c r="B75" s="3" t="inlineStr">
        <is>
          <t>2025-12-26</t>
        </is>
      </c>
      <c r="C75" s="14" t="n">
        <v>-0.0002542772563174</v>
      </c>
    </row>
    <row r="76">
      <c r="A76" s="3" t="n">
        <v>75</v>
      </c>
      <c r="B76" s="3" t="inlineStr">
        <is>
          <t>2025-12-28</t>
        </is>
      </c>
      <c r="C76" s="14" t="n">
        <v>0.0003029266517842</v>
      </c>
    </row>
    <row r="77">
      <c r="A77" s="3" t="n">
        <v>76</v>
      </c>
      <c r="B77" s="3" t="inlineStr">
        <is>
          <t>2025-12-29</t>
        </is>
      </c>
      <c r="C77" s="14" t="n">
        <v>0.0006340193067444001</v>
      </c>
    </row>
    <row r="78">
      <c r="A78" s="3" t="n">
        <v>77</v>
      </c>
      <c r="B78" s="3" t="inlineStr">
        <is>
          <t>2025-12-31</t>
        </is>
      </c>
      <c r="C78" s="14" t="n">
        <v>9.016312105813997e-06</v>
      </c>
    </row>
    <row r="79">
      <c r="A79" s="3" t="n">
        <v>78</v>
      </c>
      <c r="B79" s="3" t="inlineStr">
        <is>
          <t>2026-01-04</t>
        </is>
      </c>
      <c r="C79" s="14" t="n">
        <v>3.374843436176889e-05</v>
      </c>
    </row>
    <row r="80">
      <c r="A80" s="3" t="n">
        <v>79</v>
      </c>
      <c r="B80" s="3" t="inlineStr">
        <is>
          <t>2026-01-06</t>
        </is>
      </c>
      <c r="C80" s="14" t="n">
        <v>-0.0002244906645501</v>
      </c>
    </row>
    <row r="81">
      <c r="A81" s="3" t="n">
        <v>80</v>
      </c>
      <c r="B81" s="3" t="inlineStr">
        <is>
          <t>2026-01-08</t>
        </is>
      </c>
      <c r="C81" s="14" t="n">
        <v>5.356597102945671e-05</v>
      </c>
    </row>
    <row r="82">
      <c r="A82" s="3" t="n">
        <v>81</v>
      </c>
      <c r="B82" s="3" t="inlineStr">
        <is>
          <t>2026-01-09</t>
        </is>
      </c>
      <c r="C82" s="14" t="n">
        <v>-5.295629853208084e-05</v>
      </c>
    </row>
    <row r="83">
      <c r="A83" s="3" t="n">
        <v>82</v>
      </c>
      <c r="B83" s="3" t="inlineStr">
        <is>
          <t>2026-01-14</t>
        </is>
      </c>
      <c r="C83" s="14" t="n">
        <v>-7.469056436093524e-05</v>
      </c>
    </row>
    <row r="84">
      <c r="A84" s="3" t="n">
        <v>83</v>
      </c>
      <c r="B84" s="3" t="inlineStr">
        <is>
          <t>2026-01-24</t>
        </is>
      </c>
      <c r="C84" s="14" t="n">
        <v>-0.0001755424236762</v>
      </c>
    </row>
    <row r="85">
      <c r="A85" s="3" t="n">
        <v>84</v>
      </c>
      <c r="B85" s="3" t="inlineStr">
        <is>
          <t>2026-01-25</t>
        </is>
      </c>
      <c r="C85" s="14" t="n">
        <v>0.0001606373443792</v>
      </c>
    </row>
    <row r="86">
      <c r="A86" s="3" t="n">
        <v>85</v>
      </c>
      <c r="B86" s="3" t="inlineStr">
        <is>
          <t>2026-01-29</t>
        </is>
      </c>
      <c r="C86" s="14" t="n">
        <v>-1.661975784372771e-05</v>
      </c>
    </row>
    <row r="87">
      <c r="A87" s="3" t="n">
        <v>86</v>
      </c>
      <c r="B87" s="3" t="inlineStr">
        <is>
          <t>2026-01-30</t>
        </is>
      </c>
      <c r="C87" s="14" t="n">
        <v>0.0001493193376518</v>
      </c>
    </row>
    <row r="88">
      <c r="A88" s="3" t="n">
        <v>87</v>
      </c>
      <c r="B88" s="3" t="inlineStr">
        <is>
          <t>2026-01-31</t>
        </is>
      </c>
      <c r="C88" s="14" t="n">
        <v>2.950266753032338e-05</v>
      </c>
    </row>
    <row r="89">
      <c r="A89" s="3" t="n">
        <v>88</v>
      </c>
      <c r="B89" s="3" t="inlineStr">
        <is>
          <t>2026-02-01</t>
        </is>
      </c>
      <c r="C89" s="14" t="n">
        <v>-4.676738717535045e-05</v>
      </c>
    </row>
    <row r="90">
      <c r="A90" s="3" t="n">
        <v>89</v>
      </c>
      <c r="B90" s="3" t="inlineStr">
        <is>
          <t>2026-02-02</t>
        </is>
      </c>
      <c r="C90" s="14" t="n">
        <v>-0.0002300660853506</v>
      </c>
    </row>
    <row r="91">
      <c r="A91" s="3" t="n">
        <v>90</v>
      </c>
      <c r="B91" s="3" t="inlineStr">
        <is>
          <t>2026-02-03</t>
        </is>
      </c>
      <c r="C91" s="14" t="n">
        <v>3.00136249506977e-05</v>
      </c>
    </row>
    <row r="92">
      <c r="A92" s="3" t="n">
        <v>91</v>
      </c>
      <c r="B92" s="3" t="inlineStr">
        <is>
          <t>2026-02-04</t>
        </is>
      </c>
      <c r="C92" s="14" t="n">
        <v>5.888183295610361e-05</v>
      </c>
    </row>
    <row r="93">
      <c r="A93" s="3" t="n">
        <v>92</v>
      </c>
      <c r="B93" s="3" t="inlineStr">
        <is>
          <t>2026-02-10</t>
        </is>
      </c>
      <c r="C93" s="14" t="n">
        <v>0.0002633229014463</v>
      </c>
    </row>
    <row r="94">
      <c r="A94" s="3" t="n">
        <v>93</v>
      </c>
      <c r="B94" s="3" t="inlineStr">
        <is>
          <t>2026-02-12</t>
        </is>
      </c>
      <c r="C94" s="14" t="n">
        <v>0.0001599172828719</v>
      </c>
    </row>
    <row r="95">
      <c r="A95" s="3" t="n">
        <v>94</v>
      </c>
      <c r="B95" s="3" t="inlineStr">
        <is>
          <t>2026-02-15</t>
        </is>
      </c>
      <c r="C95" s="14" t="n">
        <v>0.0001597259906702</v>
      </c>
    </row>
    <row r="96">
      <c r="A96" s="3" t="n">
        <v>95</v>
      </c>
      <c r="B96" s="3" t="inlineStr">
        <is>
          <t>2026-02-17</t>
        </is>
      </c>
      <c r="C96" s="14" t="n">
        <v>-0.0001533110771561</v>
      </c>
    </row>
    <row r="97">
      <c r="A97" s="3" t="n">
        <v>96</v>
      </c>
      <c r="B97" s="3" t="inlineStr">
        <is>
          <t>2026-02-27</t>
        </is>
      </c>
      <c r="C97" s="14" t="n">
        <v>2.508822944946587e-07</v>
      </c>
    </row>
    <row r="98">
      <c r="A98" s="3" t="n">
        <v>97</v>
      </c>
      <c r="B98" s="3" t="inlineStr">
        <is>
          <t>2026-02-28</t>
        </is>
      </c>
      <c r="C98" s="14" t="n">
        <v>0.0003104207426076</v>
      </c>
    </row>
    <row r="99">
      <c r="A99" s="3" t="n">
        <v>98</v>
      </c>
      <c r="B99" s="3" t="inlineStr">
        <is>
          <t>2026-03-01</t>
        </is>
      </c>
      <c r="C99" s="14" t="n">
        <v>0.0001606437617738</v>
      </c>
    </row>
    <row r="100">
      <c r="A100" s="3" t="n">
        <v>99</v>
      </c>
      <c r="B100" s="3" t="inlineStr">
        <is>
          <t>2026-03-04</t>
        </is>
      </c>
      <c r="C100" s="14" t="n">
        <v>-0.0001208221219712</v>
      </c>
    </row>
    <row r="101">
      <c r="A101" s="3" t="n">
        <v>100</v>
      </c>
      <c r="B101" s="3" t="inlineStr">
        <is>
          <t>2026-03-05</t>
        </is>
      </c>
      <c r="C101" s="14" t="n">
        <v>5.870731911272742e-05</v>
      </c>
    </row>
    <row r="102">
      <c r="A102" s="3" t="n">
        <v>101</v>
      </c>
      <c r="B102" s="3" t="inlineStr">
        <is>
          <t>2026-03-06</t>
        </is>
      </c>
      <c r="C102" s="14" t="n">
        <v>5.570927169173956e-05</v>
      </c>
    </row>
    <row r="103">
      <c r="A103" s="3" t="n">
        <v>102</v>
      </c>
      <c r="B103" s="3" t="inlineStr">
        <is>
          <t>2026-03-09</t>
        </is>
      </c>
      <c r="C103" s="14" t="n">
        <v>-0.0002145537146134</v>
      </c>
    </row>
    <row r="104">
      <c r="A104" s="3" t="n">
        <v>103</v>
      </c>
      <c r="B104" s="3" t="inlineStr">
        <is>
          <t>2026-03-10</t>
        </is>
      </c>
      <c r="C104" s="14" t="n">
        <v>0.000270678945526</v>
      </c>
    </row>
    <row r="105">
      <c r="A105" s="3" t="n">
        <v>104</v>
      </c>
      <c r="B105" s="3" t="inlineStr">
        <is>
          <t>2026-03-11</t>
        </is>
      </c>
      <c r="C105" s="14" t="n">
        <v>-0.0002546517498558</v>
      </c>
    </row>
    <row r="106">
      <c r="A106" s="3" t="n">
        <v>105</v>
      </c>
      <c r="B106" s="3" t="inlineStr">
        <is>
          <t>2026-03-12</t>
        </is>
      </c>
      <c r="C106" s="14" t="n">
        <v>-1.900800634757616e-05</v>
      </c>
    </row>
    <row r="107">
      <c r="A107" s="3" t="n">
        <v>106</v>
      </c>
      <c r="B107" s="3" t="inlineStr">
        <is>
          <t>2026-03-13</t>
        </is>
      </c>
      <c r="C107" s="14" t="n">
        <v>8.50266769703012e-05</v>
      </c>
    </row>
    <row r="108">
      <c r="A108" s="3" t="n">
        <v>107</v>
      </c>
      <c r="B108" s="3" t="inlineStr">
        <is>
          <t>2026-03-14</t>
        </is>
      </c>
      <c r="C108" s="14" t="n">
        <v>-0.0001509496742073</v>
      </c>
    </row>
    <row r="109">
      <c r="A109" s="3" t="n">
        <v>108</v>
      </c>
      <c r="B109" s="3" t="inlineStr">
        <is>
          <t>2026-03-15</t>
        </is>
      </c>
      <c r="C109" s="14" t="n">
        <v>-1.85608532774495e-05</v>
      </c>
    </row>
    <row r="110">
      <c r="A110" s="3" t="n">
        <v>109</v>
      </c>
      <c r="B110" s="3" t="inlineStr">
        <is>
          <t>2026-03-16</t>
        </is>
      </c>
      <c r="C110" s="14" t="n">
        <v>3.398367243789835e-05</v>
      </c>
    </row>
    <row r="111">
      <c r="A111" s="3" t="n">
        <v>110</v>
      </c>
      <c r="B111" s="3" t="inlineStr">
        <is>
          <t>2026-03-17</t>
        </is>
      </c>
      <c r="C111" s="14" t="n">
        <v>0.0001759239967213</v>
      </c>
    </row>
    <row r="112">
      <c r="A112" s="3" t="n">
        <v>111</v>
      </c>
      <c r="B112" s="3" t="inlineStr">
        <is>
          <t>2026-03-18</t>
        </is>
      </c>
      <c r="C112" s="14" t="n">
        <v>0.0001738346400088</v>
      </c>
    </row>
    <row r="113">
      <c r="A113" s="3" t="n">
        <v>112</v>
      </c>
      <c r="B113" s="3" t="inlineStr">
        <is>
          <t>2026-03-19</t>
        </is>
      </c>
      <c r="C113" s="14" t="n">
        <v>0.0004785950586665</v>
      </c>
    </row>
    <row r="114">
      <c r="A114" s="3" t="n">
        <v>113</v>
      </c>
      <c r="B114" s="3" t="inlineStr">
        <is>
          <t>2026-03-23</t>
        </is>
      </c>
      <c r="C114" s="14" t="n">
        <v>2.366347280258196e-05</v>
      </c>
    </row>
    <row r="115">
      <c r="A115" s="3" t="n">
        <v>114</v>
      </c>
      <c r="B115" s="3" t="inlineStr">
        <is>
          <t>2026-03-24</t>
        </is>
      </c>
      <c r="C115" s="14" t="n">
        <v>-1.908208923850907e-05</v>
      </c>
    </row>
    <row r="116">
      <c r="A116" s="3" t="n">
        <v>115</v>
      </c>
      <c r="B116" s="3" t="inlineStr">
        <is>
          <t>2026-03-25</t>
        </is>
      </c>
      <c r="C116" s="14" t="n">
        <v>2.862922519852873e-05</v>
      </c>
    </row>
    <row r="117">
      <c r="A117" s="3" t="n">
        <v>116</v>
      </c>
      <c r="B117" s="3" t="inlineStr">
        <is>
          <t>2026-03-27</t>
        </is>
      </c>
      <c r="C117" s="14" t="n">
        <v>-0.0004601915497914</v>
      </c>
    </row>
    <row r="118">
      <c r="A118" s="3" t="n">
        <v>117</v>
      </c>
      <c r="B118" s="3" t="inlineStr">
        <is>
          <t>2026-03-29</t>
        </is>
      </c>
      <c r="C118" s="14" t="n">
        <v>0.0005408672150223999</v>
      </c>
    </row>
    <row r="119">
      <c r="A119" s="3" t="n">
        <v>118</v>
      </c>
      <c r="B119" s="3" t="inlineStr">
        <is>
          <t>2026-04-01</t>
        </is>
      </c>
      <c r="C119" s="14" t="n">
        <v>-0.0001602515840204</v>
      </c>
    </row>
    <row r="120">
      <c r="A120" s="3" t="n">
        <v>119</v>
      </c>
      <c r="B120" s="3" t="inlineStr">
        <is>
          <t>2026-04-05</t>
        </is>
      </c>
      <c r="C120" s="14" t="n">
        <v>2.511950606276514e-05</v>
      </c>
    </row>
    <row r="121">
      <c r="A121" s="3" t="n">
        <v>120</v>
      </c>
      <c r="B121" s="3" t="inlineStr">
        <is>
          <t>2026-04-06</t>
        </is>
      </c>
      <c r="C121" s="14" t="n">
        <v>-0.0001794797353795</v>
      </c>
    </row>
    <row r="122">
      <c r="A122" s="3" t="n">
        <v>121</v>
      </c>
      <c r="B122" s="3" t="inlineStr">
        <is>
          <t>2026-04-07</t>
        </is>
      </c>
      <c r="C122" s="14" t="n">
        <v>0.0005865261646248999</v>
      </c>
    </row>
    <row r="123">
      <c r="A123" s="3" t="n">
        <v>122</v>
      </c>
      <c r="B123" s="3" t="inlineStr">
        <is>
          <t>2026-04-08</t>
        </is>
      </c>
      <c r="C123" s="14" t="n">
        <v>9.055664850166067e-05</v>
      </c>
    </row>
    <row r="124">
      <c r="A124" s="3" t="n">
        <v>123</v>
      </c>
      <c r="B124" s="3" t="inlineStr">
        <is>
          <t>2026-04-15</t>
        </is>
      </c>
      <c r="C124" s="14" t="n">
        <v>0.0002367984416196</v>
      </c>
    </row>
    <row r="125">
      <c r="A125" s="3" t="n">
        <v>124</v>
      </c>
      <c r="B125" s="3" t="inlineStr">
        <is>
          <t>2026-04-16</t>
        </is>
      </c>
      <c r="C125" s="14" t="n">
        <v>0.0001794438139768</v>
      </c>
    </row>
    <row r="126">
      <c r="A126" s="3" t="n">
        <v>125</v>
      </c>
      <c r="B126" s="3" t="inlineStr">
        <is>
          <t>2026-04-17</t>
        </is>
      </c>
      <c r="C126" s="14" t="n">
        <v>9.392176434630528e-05</v>
      </c>
    </row>
    <row r="127">
      <c r="A127" s="3" t="n">
        <v>126</v>
      </c>
      <c r="B127" s="3" t="inlineStr">
        <is>
          <t>2026-04-18</t>
        </is>
      </c>
      <c r="C127" s="14" t="n">
        <v>-9.968943049898372e-05</v>
      </c>
    </row>
    <row r="128">
      <c r="A128" s="3" t="n">
        <v>127</v>
      </c>
      <c r="B128" s="3" t="inlineStr">
        <is>
          <t>2026-04-19</t>
        </is>
      </c>
      <c r="C128" s="14" t="n">
        <v>-0.0001290721738769</v>
      </c>
    </row>
    <row r="129">
      <c r="A129" s="3" t="n">
        <v>128</v>
      </c>
      <c r="B129" s="3" t="inlineStr">
        <is>
          <t>2026-04-20</t>
        </is>
      </c>
      <c r="C129" s="14" t="n">
        <v>-0.0001553817019157</v>
      </c>
    </row>
    <row r="130">
      <c r="A130" s="3" t="n">
        <v>129</v>
      </c>
      <c r="B130" s="3" t="inlineStr">
        <is>
          <t>2026-04-23</t>
        </is>
      </c>
      <c r="C130" s="14" t="n">
        <v>-0.0002600806546979</v>
      </c>
    </row>
    <row r="131">
      <c r="A131" s="3" t="n">
        <v>130</v>
      </c>
      <c r="B131" s="3" t="inlineStr">
        <is>
          <t>2026-04-24</t>
        </is>
      </c>
      <c r="C131" s="14" t="n">
        <v>0.0002891867479775</v>
      </c>
    </row>
    <row r="132">
      <c r="A132" s="3" t="n">
        <v>131</v>
      </c>
      <c r="B132" s="3" t="inlineStr">
        <is>
          <t>2026-04-26</t>
        </is>
      </c>
      <c r="C132" s="14" t="n">
        <v>0.0003186678459314</v>
      </c>
    </row>
    <row r="133">
      <c r="A133" s="3" t="n">
        <v>132</v>
      </c>
      <c r="B133" s="3" t="inlineStr">
        <is>
          <t>2026-04-27</t>
        </is>
      </c>
      <c r="C133" s="14" t="n">
        <v>-0.0001814270435716</v>
      </c>
    </row>
    <row r="134">
      <c r="A134" s="3" t="n">
        <v>133</v>
      </c>
      <c r="B134" s="3" t="inlineStr">
        <is>
          <t>2026-04-28</t>
        </is>
      </c>
      <c r="C134" s="14" t="n">
        <v>9.32218972593546e-05</v>
      </c>
    </row>
    <row r="135">
      <c r="A135" s="3" t="n">
        <v>134</v>
      </c>
      <c r="B135" s="3" t="inlineStr">
        <is>
          <t>2026-05-01</t>
        </is>
      </c>
      <c r="C135" s="14" t="n">
        <v>0.0004354610427981</v>
      </c>
    </row>
    <row r="136">
      <c r="A136" s="3" t="n">
        <v>135</v>
      </c>
      <c r="B136" s="3" t="inlineStr">
        <is>
          <t>2026-05-03</t>
        </is>
      </c>
      <c r="C136" s="14" t="n">
        <v>0.0001029180530167</v>
      </c>
    </row>
    <row r="137">
      <c r="A137" s="3" t="n">
        <v>136</v>
      </c>
      <c r="B137" s="3" t="inlineStr">
        <is>
          <t>2026-05-04</t>
        </is>
      </c>
      <c r="C137" s="14" t="n">
        <v>3.142782361464924e-06</v>
      </c>
    </row>
    <row r="138">
      <c r="A138" s="3" t="n">
        <v>137</v>
      </c>
      <c r="B138" s="3" t="inlineStr">
        <is>
          <t>2026-05-06</t>
        </is>
      </c>
      <c r="C138" s="14" t="n">
        <v>0.000385788080166</v>
      </c>
    </row>
    <row r="139">
      <c r="A139" s="3" t="n">
        <v>138</v>
      </c>
      <c r="B139" s="3" t="inlineStr">
        <is>
          <t>2026-05-07</t>
        </is>
      </c>
      <c r="C139" s="14" t="n">
        <v>-5.235167918726802e-05</v>
      </c>
    </row>
    <row r="140">
      <c r="A140" s="3" t="n">
        <v>139</v>
      </c>
      <c r="B140" s="3" t="inlineStr">
        <is>
          <t>2026-05-08</t>
        </is>
      </c>
      <c r="C140" s="14" t="n">
        <v>-0.0001322628813795</v>
      </c>
    </row>
    <row r="141">
      <c r="A141" s="3" t="n">
        <v>140</v>
      </c>
      <c r="B141" s="3" t="inlineStr">
        <is>
          <t>2026-05-09</t>
        </is>
      </c>
      <c r="C141" s="14" t="n">
        <v>0.0005566106410697</v>
      </c>
    </row>
    <row r="142">
      <c r="A142" s="3" t="n">
        <v>141</v>
      </c>
      <c r="B142" s="3" t="inlineStr">
        <is>
          <t>2026-05-10</t>
        </is>
      </c>
      <c r="C142" s="14" t="n">
        <v>0.0001132623729063</v>
      </c>
    </row>
    <row r="143">
      <c r="A143" s="3" t="n">
        <v>142</v>
      </c>
      <c r="B143" s="3" t="inlineStr">
        <is>
          <t>2026-05-11</t>
        </is>
      </c>
      <c r="C143" s="14" t="n">
        <v>7.534868018410634e-07</v>
      </c>
    </row>
    <row r="144">
      <c r="A144" s="3" t="n">
        <v>143</v>
      </c>
      <c r="B144" s="3" t="inlineStr">
        <is>
          <t>2026-05-12</t>
        </is>
      </c>
      <c r="C144" s="14" t="n">
        <v>0.0002527283131712</v>
      </c>
    </row>
    <row r="145">
      <c r="A145" s="3" t="n">
        <v>144</v>
      </c>
      <c r="B145" s="3" t="inlineStr">
        <is>
          <t>2026-05-13</t>
        </is>
      </c>
      <c r="C145" s="14" t="n">
        <v>0.0001328695652773</v>
      </c>
    </row>
    <row r="146">
      <c r="A146" s="3" t="n">
        <v>145</v>
      </c>
      <c r="B146" s="3" t="inlineStr">
        <is>
          <t>2026-05-15</t>
        </is>
      </c>
      <c r="C146" s="14" t="n">
        <v>0.0002959385965368</v>
      </c>
    </row>
    <row r="147">
      <c r="A147" s="3" t="n">
        <v>146</v>
      </c>
      <c r="B147" s="3" t="inlineStr">
        <is>
          <t>2026-05-17</t>
        </is>
      </c>
      <c r="C147" s="14" t="n">
        <v>0.0002543038663134</v>
      </c>
    </row>
    <row r="148">
      <c r="A148" s="3" t="n">
        <v>147</v>
      </c>
      <c r="B148" s="3" t="inlineStr">
        <is>
          <t>2026-05-18</t>
        </is>
      </c>
      <c r="C148" s="14" t="n">
        <v>0.0004900655330857</v>
      </c>
    </row>
    <row r="149">
      <c r="A149" s="3" t="n">
        <v>148</v>
      </c>
      <c r="B149" s="3" t="inlineStr">
        <is>
          <t>2026-05-19</t>
        </is>
      </c>
      <c r="C149" s="14" t="n">
        <v>-0.0001780675229383</v>
      </c>
    </row>
    <row r="150">
      <c r="A150" s="3" t="n">
        <v>149</v>
      </c>
      <c r="B150" s="3" t="inlineStr">
        <is>
          <t>2026-05-20</t>
        </is>
      </c>
      <c r="C150" s="14" t="n">
        <v>0.0001415399237885</v>
      </c>
    </row>
    <row r="151">
      <c r="A151" s="3" t="n">
        <v>150</v>
      </c>
      <c r="B151" s="3" t="inlineStr">
        <is>
          <t>2026-05-22</t>
        </is>
      </c>
      <c r="C151" s="14" t="n">
        <v>-7.883345824666321e-05</v>
      </c>
    </row>
    <row r="152">
      <c r="A152" s="3" t="n">
        <v>151</v>
      </c>
      <c r="B152" s="3" t="inlineStr">
        <is>
          <t>2026-05-23</t>
        </is>
      </c>
      <c r="C152" s="14" t="n">
        <v>0.0001705751783447</v>
      </c>
    </row>
    <row r="153">
      <c r="A153" s="3" t="n">
        <v>152</v>
      </c>
      <c r="B153" s="3" t="inlineStr">
        <is>
          <t>2026-05-24</t>
        </is>
      </c>
      <c r="C153" s="14" t="n">
        <v>0.0002704191429074</v>
      </c>
    </row>
    <row r="154">
      <c r="A154" s="3" t="n">
        <v>153</v>
      </c>
      <c r="B154" s="3" t="inlineStr">
        <is>
          <t>2026-05-25</t>
        </is>
      </c>
      <c r="C154" s="14" t="n">
        <v>2.382632374064997e-05</v>
      </c>
    </row>
    <row r="155">
      <c r="A155" s="3" t="n">
        <v>154</v>
      </c>
      <c r="B155" s="3" t="inlineStr">
        <is>
          <t>2026-05-26</t>
        </is>
      </c>
      <c r="C155" s="14" t="n">
        <v>-0.0002284553484059</v>
      </c>
    </row>
    <row r="156">
      <c r="A156" s="3" t="n">
        <v>155</v>
      </c>
      <c r="B156" s="3" t="inlineStr">
        <is>
          <t>2026-05-27</t>
        </is>
      </c>
      <c r="C156" s="14" t="n">
        <v>1.167841975302508e-05</v>
      </c>
    </row>
    <row r="157">
      <c r="A157" s="3" t="n">
        <v>156</v>
      </c>
      <c r="B157" s="3" t="inlineStr">
        <is>
          <t>2026-05-28</t>
        </is>
      </c>
      <c r="C157" s="14" t="n">
        <v>8.439697012363467e-05</v>
      </c>
    </row>
    <row r="158">
      <c r="A158" s="3" t="n">
        <v>157</v>
      </c>
      <c r="B158" s="3" t="inlineStr">
        <is>
          <t>2026-05-29</t>
        </is>
      </c>
      <c r="C158" s="14" t="n">
        <v>0.0004511229635681</v>
      </c>
    </row>
    <row r="159">
      <c r="A159" s="3" t="n">
        <v>158</v>
      </c>
      <c r="B159" s="3" t="inlineStr">
        <is>
          <t>2026-05-30</t>
        </is>
      </c>
      <c r="C159" s="14" t="n">
        <v>-7.645979894732591e-05</v>
      </c>
    </row>
    <row r="160">
      <c r="A160" s="3" t="n">
        <v>159</v>
      </c>
      <c r="B160" s="3" t="inlineStr">
        <is>
          <t>2026-05-31</t>
        </is>
      </c>
      <c r="C160" s="14" t="n">
        <v>-0.0001894752203952</v>
      </c>
    </row>
    <row r="161">
      <c r="A161" s="3" t="n">
        <v>160</v>
      </c>
      <c r="B161" s="3" t="inlineStr">
        <is>
          <t>2026-06-01</t>
        </is>
      </c>
      <c r="C161" s="14" t="n">
        <v>-9.13295298232697e-05</v>
      </c>
    </row>
    <row r="162">
      <c r="A162" s="3" t="n">
        <v>161</v>
      </c>
      <c r="B162" s="3" t="inlineStr">
        <is>
          <t>2026-06-02</t>
        </is>
      </c>
      <c r="C162" s="14" t="n">
        <v>-6.56925913062878e-05</v>
      </c>
    </row>
    <row r="163">
      <c r="A163" s="3" t="n">
        <v>162</v>
      </c>
      <c r="B163" s="3" t="inlineStr">
        <is>
          <t>2026-06-03</t>
        </is>
      </c>
      <c r="C163" s="14" t="n">
        <v>0.0002559597305662</v>
      </c>
    </row>
    <row r="164">
      <c r="A164" s="3" t="n">
        <v>163</v>
      </c>
      <c r="B164" s="3" t="inlineStr">
        <is>
          <t>2026-06-04</t>
        </is>
      </c>
      <c r="C164" s="14" t="n">
        <v>0.0002448995655868</v>
      </c>
    </row>
    <row r="165">
      <c r="A165" s="3" t="n">
        <v>164</v>
      </c>
      <c r="B165" s="3" t="inlineStr">
        <is>
          <t>2026-06-05</t>
        </is>
      </c>
      <c r="C165" s="14" t="n">
        <v>-9.0209625341231e-05</v>
      </c>
    </row>
    <row r="166">
      <c r="A166" s="3" t="n">
        <v>165</v>
      </c>
      <c r="B166" s="3" t="inlineStr">
        <is>
          <t>2026-06-06</t>
        </is>
      </c>
      <c r="C166" s="14" t="n">
        <v>-0.0001312627864535</v>
      </c>
    </row>
    <row r="167">
      <c r="A167" s="3" t="n">
        <v>166</v>
      </c>
      <c r="B167" s="3" t="inlineStr">
        <is>
          <t>2026-06-07</t>
        </is>
      </c>
      <c r="C167" s="14" t="n">
        <v>0.0005680493122781</v>
      </c>
    </row>
    <row r="168">
      <c r="A168" s="3" t="n">
        <v>167</v>
      </c>
      <c r="B168" s="3" t="inlineStr">
        <is>
          <t>2026-06-08</t>
        </is>
      </c>
      <c r="C168" s="14" t="n">
        <v>0.000335743825417</v>
      </c>
    </row>
    <row r="169">
      <c r="A169" s="3" t="n">
        <v>168</v>
      </c>
      <c r="B169" s="3" t="inlineStr">
        <is>
          <t>2026-06-09</t>
        </is>
      </c>
      <c r="C169" s="14" t="n">
        <v>0.0001768235742929</v>
      </c>
    </row>
    <row r="170">
      <c r="A170" s="3" t="n">
        <v>169</v>
      </c>
      <c r="B170" s="3" t="inlineStr">
        <is>
          <t>2026-06-10</t>
        </is>
      </c>
      <c r="C170" s="14" t="n">
        <v>0.000671401299769</v>
      </c>
    </row>
    <row r="171">
      <c r="A171" s="3" t="n">
        <v>170</v>
      </c>
      <c r="B171" s="3" t="inlineStr">
        <is>
          <t>2026-06-11</t>
        </is>
      </c>
      <c r="C171" s="14" t="n">
        <v>1.956900632649194e-05</v>
      </c>
    </row>
    <row r="172">
      <c r="A172" s="3" t="n">
        <v>171</v>
      </c>
      <c r="B172" s="3" t="inlineStr">
        <is>
          <t>2026-06-14</t>
        </is>
      </c>
      <c r="C172" s="14" t="n">
        <v>-1.338913648396556e-06</v>
      </c>
    </row>
    <row r="173">
      <c r="A173" s="3" t="n">
        <v>172</v>
      </c>
      <c r="B173" s="3" t="inlineStr">
        <is>
          <t>2026-06-15</t>
        </is>
      </c>
      <c r="C173" s="14" t="n">
        <v>5.067164966021664e-05</v>
      </c>
    </row>
    <row r="174">
      <c r="A174" s="3" t="n">
        <v>173</v>
      </c>
      <c r="B174" s="3" t="inlineStr">
        <is>
          <t>2026-06-16</t>
        </is>
      </c>
      <c r="C174" s="14" t="n">
        <v>-9.339092503068969e-05</v>
      </c>
    </row>
    <row r="175">
      <c r="A175" s="3" t="n">
        <v>174</v>
      </c>
      <c r="B175" s="3" t="inlineStr">
        <is>
          <t>2026-06-17</t>
        </is>
      </c>
      <c r="C175" s="14" t="n">
        <v>-4.472760247153929e-05</v>
      </c>
    </row>
    <row r="176">
      <c r="A176" s="3" t="n">
        <v>175</v>
      </c>
      <c r="B176" s="3" t="inlineStr">
        <is>
          <t>2026-06-18</t>
        </is>
      </c>
      <c r="C176" s="14" t="n">
        <v>-2.127180050592869e-05</v>
      </c>
    </row>
    <row r="177">
      <c r="A177" s="3" t="n">
        <v>176</v>
      </c>
      <c r="B177" s="3" t="inlineStr">
        <is>
          <t>2026-06-19</t>
        </is>
      </c>
      <c r="C177" s="14" t="n">
        <v>8.50070819069515e-05</v>
      </c>
    </row>
    <row r="178">
      <c r="A178" s="3" t="n">
        <v>177</v>
      </c>
      <c r="B178" s="3" t="inlineStr">
        <is>
          <t>2026-06-20</t>
        </is>
      </c>
      <c r="C178" s="14" t="n">
        <v>-0.000223854847718</v>
      </c>
    </row>
    <row r="179">
      <c r="A179" s="3" t="n">
        <v>178</v>
      </c>
      <c r="B179" s="3" t="inlineStr">
        <is>
          <t>2026-06-21</t>
        </is>
      </c>
      <c r="C179" s="14" t="n">
        <v>6.962800398468971e-07</v>
      </c>
    </row>
    <row r="180">
      <c r="A180" s="3" t="n">
        <v>179</v>
      </c>
      <c r="B180" s="3" t="inlineStr">
        <is>
          <t>2026-06-23</t>
        </is>
      </c>
      <c r="C180" s="14" t="n">
        <v>0.0001736476297082</v>
      </c>
    </row>
    <row r="181">
      <c r="A181" s="3" t="n">
        <v>180</v>
      </c>
      <c r="B181" s="3" t="inlineStr">
        <is>
          <t>2026-06-24</t>
        </is>
      </c>
      <c r="C181" s="14" t="n">
        <v>9.655748726800084e-05</v>
      </c>
    </row>
    <row r="182">
      <c r="A182" s="3" t="n">
        <v>181</v>
      </c>
      <c r="B182" s="3" t="inlineStr">
        <is>
          <t>2026-06-25</t>
        </is>
      </c>
      <c r="C182" s="14" t="n">
        <v>-0.0001287839049837</v>
      </c>
    </row>
    <row r="183">
      <c r="A183" s="3" t="n">
        <v>182</v>
      </c>
      <c r="B183" s="3" t="inlineStr">
        <is>
          <t>2026-06-26</t>
        </is>
      </c>
      <c r="C183" s="14" t="n">
        <v>-0.0003104571514995</v>
      </c>
    </row>
    <row r="184">
      <c r="A184" s="3" t="n">
        <v>183</v>
      </c>
      <c r="B184" s="3" t="inlineStr">
        <is>
          <t>2026-06-27</t>
        </is>
      </c>
      <c r="C184" s="14" t="n">
        <v>0.0001173104174085</v>
      </c>
    </row>
    <row r="185">
      <c r="A185" s="3" t="n">
        <v>184</v>
      </c>
      <c r="B185" s="3" t="inlineStr">
        <is>
          <t>2026-06-28</t>
        </is>
      </c>
      <c r="C185" s="14" t="n">
        <v>0.0001212924144056</v>
      </c>
    </row>
    <row r="186">
      <c r="A186" s="3" t="n">
        <v>185</v>
      </c>
      <c r="B186" s="3" t="inlineStr">
        <is>
          <t>2026-06-29</t>
        </is>
      </c>
      <c r="C186" s="14" t="n">
        <v>0.0002485084842192</v>
      </c>
    </row>
    <row r="187">
      <c r="A187" s="3" t="n">
        <v>186</v>
      </c>
      <c r="B187" s="3" t="inlineStr">
        <is>
          <t>2026-06-30</t>
        </is>
      </c>
      <c r="C187" s="14" t="n">
        <v>0.0002592870296211</v>
      </c>
    </row>
    <row r="188">
      <c r="A188" s="3" t="n">
        <v>187</v>
      </c>
      <c r="B188" s="3" t="inlineStr">
        <is>
          <t>2026-07-01</t>
        </is>
      </c>
      <c r="C188" s="14" t="n">
        <v>4.7388182792929e-05</v>
      </c>
    </row>
    <row r="189">
      <c r="A189" s="3" t="n">
        <v>188</v>
      </c>
      <c r="B189" s="3" t="inlineStr">
        <is>
          <t>2026-07-02</t>
        </is>
      </c>
      <c r="C189" s="14" t="n">
        <v>0.0001718086687105</v>
      </c>
    </row>
    <row r="190">
      <c r="A190" s="3" t="n">
        <v>189</v>
      </c>
      <c r="B190" s="3" t="inlineStr">
        <is>
          <t>2026-07-03</t>
        </is>
      </c>
      <c r="C190" s="14" t="n">
        <v>7.899800039012916e-05</v>
      </c>
    </row>
    <row r="191">
      <c r="A191" s="3" t="n">
        <v>190</v>
      </c>
      <c r="B191" s="3" t="inlineStr">
        <is>
          <t>2026-07-04</t>
        </is>
      </c>
      <c r="C191" s="14" t="n">
        <v>0.0001335083943558</v>
      </c>
    </row>
    <row r="192">
      <c r="A192" s="3" t="n">
        <v>191</v>
      </c>
      <c r="B192" s="3" t="inlineStr">
        <is>
          <t>2026-07-05</t>
        </is>
      </c>
      <c r="C192" s="14" t="n">
        <v>6.798105641792063e-05</v>
      </c>
    </row>
    <row r="193">
      <c r="A193" s="3" t="n">
        <v>192</v>
      </c>
      <c r="B193" s="3" t="inlineStr">
        <is>
          <t>2026-07-07</t>
        </is>
      </c>
      <c r="C193" s="14" t="n">
        <v>6.774840949219652e-05</v>
      </c>
    </row>
    <row r="194">
      <c r="A194" s="3" t="n">
        <v>193</v>
      </c>
      <c r="B194" s="3" t="inlineStr">
        <is>
          <t>2026-07-08</t>
        </is>
      </c>
      <c r="C194" s="14" t="n">
        <v>5.65402333450038e-05</v>
      </c>
    </row>
    <row r="195">
      <c r="A195" s="3" t="n">
        <v>194</v>
      </c>
      <c r="B195" s="3" t="inlineStr">
        <is>
          <t>2026-07-09</t>
        </is>
      </c>
      <c r="C195" s="14" t="n">
        <v>3.920898871001555e-05</v>
      </c>
    </row>
    <row r="196">
      <c r="A196" s="3" t="n">
        <v>195</v>
      </c>
      <c r="B196" s="3" t="inlineStr">
        <is>
          <t>2026-07-10</t>
        </is>
      </c>
      <c r="C196" s="14" t="n">
        <v>0.0001554640330141</v>
      </c>
    </row>
    <row r="197">
      <c r="A197" s="3" t="n">
        <v>196</v>
      </c>
      <c r="B197" s="3" t="inlineStr">
        <is>
          <t>2026-07-11</t>
        </is>
      </c>
      <c r="C197" s="14" t="n">
        <v>-0.000176195622771</v>
      </c>
    </row>
    <row r="198">
      <c r="A198" s="3" t="n">
        <v>197</v>
      </c>
      <c r="B198" s="3" t="inlineStr">
        <is>
          <t>2026-07-12</t>
        </is>
      </c>
      <c r="C198" s="14" t="n">
        <v>4.693275695899501e-05</v>
      </c>
    </row>
    <row r="199">
      <c r="A199" s="3" t="n">
        <v>198</v>
      </c>
      <c r="B199" s="3" t="inlineStr">
        <is>
          <t>2026-07-13</t>
        </is>
      </c>
      <c r="C199" s="14" t="n">
        <v>-0.0001478935046179</v>
      </c>
    </row>
    <row r="200">
      <c r="A200" s="3" t="n">
        <v>199</v>
      </c>
      <c r="B200" s="3" t="inlineStr">
        <is>
          <t>2026-07-14</t>
        </is>
      </c>
      <c r="C200" s="14" t="n">
        <v>-0.0001652773144087</v>
      </c>
    </row>
    <row r="201">
      <c r="A201" s="3" t="n">
        <v>200</v>
      </c>
      <c r="B201" s="3" t="inlineStr">
        <is>
          <t>2026-07-16</t>
        </is>
      </c>
      <c r="C201" s="14" t="n">
        <v>-0.0001829629327403</v>
      </c>
    </row>
    <row r="202">
      <c r="A202" s="3" t="n">
        <v>201</v>
      </c>
      <c r="B202" s="3" t="inlineStr">
        <is>
          <t>2026-07-17</t>
        </is>
      </c>
      <c r="C202" s="14" t="n">
        <v>-9.554676944389941e-05</v>
      </c>
    </row>
    <row r="203">
      <c r="A203" s="3" t="n">
        <v>202</v>
      </c>
      <c r="B203" s="3" t="inlineStr">
        <is>
          <t>2026-07-18</t>
        </is>
      </c>
      <c r="C203" s="14" t="n">
        <v>0.0002065517473965</v>
      </c>
    </row>
    <row r="204">
      <c r="A204" s="3" t="n">
        <v>203</v>
      </c>
      <c r="B204" s="3" t="inlineStr">
        <is>
          <t>2026-07-19</t>
        </is>
      </c>
      <c r="C204" s="14" t="n">
        <v>0.0004588140145642</v>
      </c>
    </row>
    <row r="205">
      <c r="A205" s="3" t="n">
        <v>204</v>
      </c>
      <c r="B205" s="3" t="inlineStr">
        <is>
          <t>2026-07-20</t>
        </is>
      </c>
      <c r="C205" s="14" t="n">
        <v>-0.0001637939785723</v>
      </c>
    </row>
    <row r="206">
      <c r="A206" s="3" t="n">
        <v>205</v>
      </c>
      <c r="B206" s="3" t="inlineStr">
        <is>
          <t>2026-07-21</t>
        </is>
      </c>
      <c r="C206" s="14" t="n">
        <v>-0.0002456308357068</v>
      </c>
    </row>
    <row r="207">
      <c r="A207" s="3" t="n">
        <v>206</v>
      </c>
      <c r="B207" s="3" t="inlineStr">
        <is>
          <t>2026-07-22</t>
        </is>
      </c>
      <c r="C207" s="14" t="n">
        <v>0.0002243461931357</v>
      </c>
    </row>
    <row r="208">
      <c r="A208" s="3" t="n">
        <v>207</v>
      </c>
      <c r="B208" s="3" t="inlineStr">
        <is>
          <t>2026-07-23</t>
        </is>
      </c>
      <c r="C208" s="14" t="n">
        <v>6.375435987138189e-05</v>
      </c>
    </row>
    <row r="209">
      <c r="A209" s="3" t="n">
        <v>208</v>
      </c>
      <c r="B209" s="3" t="inlineStr">
        <is>
          <t>2026-07-24</t>
        </is>
      </c>
      <c r="C209" s="14" t="n">
        <v>0.000339799640642</v>
      </c>
    </row>
    <row r="210">
      <c r="A210" s="3" t="n">
        <v>209</v>
      </c>
      <c r="B210" s="3" t="inlineStr">
        <is>
          <t>2026-07-25</t>
        </is>
      </c>
      <c r="C210" s="14" t="n">
        <v>1.201174018206075e-05</v>
      </c>
    </row>
    <row r="211">
      <c r="A211" s="3" t="n">
        <v>210</v>
      </c>
      <c r="B211" s="3" t="inlineStr">
        <is>
          <t>2026-07-26</t>
        </is>
      </c>
      <c r="C211" s="14" t="n">
        <v>0.0004190267991361</v>
      </c>
    </row>
    <row r="212">
      <c r="A212" s="3" t="n">
        <v>211</v>
      </c>
      <c r="B212" s="3" t="inlineStr">
        <is>
          <t>2026-07-29</t>
        </is>
      </c>
      <c r="C212" s="14" t="n">
        <v>-3.74755190932774e-05</v>
      </c>
    </row>
    <row r="213">
      <c r="A213" s="3" t="n">
        <v>212</v>
      </c>
      <c r="B213" s="3" t="inlineStr">
        <is>
          <t>2026-07-30</t>
        </is>
      </c>
      <c r="C213" s="14" t="n">
        <v>8.067578892223537e-05</v>
      </c>
    </row>
    <row r="214">
      <c r="A214" s="3" t="n">
        <v>213</v>
      </c>
      <c r="B214" s="3" t="inlineStr">
        <is>
          <t>2026-07-31</t>
        </is>
      </c>
      <c r="C214" s="14" t="n">
        <v>9.492306344327515e-05</v>
      </c>
    </row>
    <row r="215">
      <c r="A215" s="3" t="n">
        <v>214</v>
      </c>
      <c r="B215" s="3" t="inlineStr">
        <is>
          <t>2026-08-01</t>
        </is>
      </c>
      <c r="C215" s="14" t="n">
        <v>-3.049075894523412e-05</v>
      </c>
    </row>
    <row r="216">
      <c r="A216" s="3" t="n">
        <v>215</v>
      </c>
      <c r="B216" s="3" t="inlineStr">
        <is>
          <t>2026-08-02</t>
        </is>
      </c>
      <c r="C216" s="14" t="n">
        <v>0.0005446915165521</v>
      </c>
    </row>
    <row r="217">
      <c r="A217" s="3" t="n">
        <v>216</v>
      </c>
      <c r="B217" s="3" t="inlineStr">
        <is>
          <t>2026-08-03</t>
        </is>
      </c>
      <c r="C217" s="14" t="n">
        <v>-6.21795843471773e-05</v>
      </c>
    </row>
    <row r="218">
      <c r="A218" s="3" t="n">
        <v>217</v>
      </c>
      <c r="B218" s="3" t="inlineStr">
        <is>
          <t>2026-08-04</t>
        </is>
      </c>
      <c r="C218" s="14" t="n">
        <v>5.065437744633528e-05</v>
      </c>
    </row>
    <row r="219">
      <c r="A219" s="3" t="n">
        <v>218</v>
      </c>
      <c r="B219" s="3" t="inlineStr">
        <is>
          <t>2026-08-05</t>
        </is>
      </c>
      <c r="C219" s="14" t="n">
        <v>0.0001476794641348</v>
      </c>
    </row>
    <row r="220">
      <c r="A220" s="3" t="n">
        <v>219</v>
      </c>
      <c r="B220" s="3" t="inlineStr">
        <is>
          <t>2026-08-06</t>
        </is>
      </c>
      <c r="C220" s="14" t="n">
        <v>-8.445392813882791e-05</v>
      </c>
    </row>
    <row r="221">
      <c r="A221" s="3" t="n">
        <v>220</v>
      </c>
      <c r="B221" s="3" t="inlineStr">
        <is>
          <t>2026-08-07</t>
        </is>
      </c>
      <c r="C221" s="14" t="n">
        <v>-0.0002246847852802</v>
      </c>
    </row>
    <row r="222">
      <c r="A222" s="3" t="n">
        <v>221</v>
      </c>
      <c r="B222" s="3" t="inlineStr">
        <is>
          <t>2026-08-08</t>
        </is>
      </c>
      <c r="C222" s="14" t="n">
        <v>-0.0002124102175002</v>
      </c>
    </row>
    <row r="223">
      <c r="A223" s="3" t="n">
        <v>222</v>
      </c>
      <c r="B223" s="3" t="inlineStr">
        <is>
          <t>2026-08-09</t>
        </is>
      </c>
      <c r="C223" s="14" t="n">
        <v>0.0004351895331637</v>
      </c>
    </row>
    <row r="224">
      <c r="A224" s="3" t="n">
        <v>223</v>
      </c>
      <c r="B224" s="3" t="inlineStr">
        <is>
          <t>2026-08-10</t>
        </is>
      </c>
      <c r="C224" s="14" t="n">
        <v>7.91142092566588e-05</v>
      </c>
    </row>
    <row r="225">
      <c r="A225" s="3" t="n">
        <v>224</v>
      </c>
      <c r="B225" s="3" t="inlineStr">
        <is>
          <t>2026-08-11</t>
        </is>
      </c>
      <c r="C225" s="14" t="n">
        <v>0.0003304488345747</v>
      </c>
    </row>
    <row r="226">
      <c r="A226" s="3" t="n">
        <v>225</v>
      </c>
      <c r="B226" s="3" t="inlineStr">
        <is>
          <t>2026-08-12</t>
        </is>
      </c>
      <c r="C226" s="14" t="n">
        <v>-1.547930514789186e-05</v>
      </c>
    </row>
    <row r="227">
      <c r="A227" s="3" t="n">
        <v>226</v>
      </c>
      <c r="B227" s="3" t="inlineStr">
        <is>
          <t>2026-08-13</t>
        </is>
      </c>
      <c r="C227" s="14" t="n">
        <v>-0.0007201985572464</v>
      </c>
    </row>
    <row r="228">
      <c r="A228" s="3" t="n">
        <v>227</v>
      </c>
      <c r="B228" s="3" t="inlineStr">
        <is>
          <t>2026-08-14</t>
        </is>
      </c>
      <c r="C228" s="14" t="n">
        <v>2.77236777037615e-05</v>
      </c>
    </row>
    <row r="229">
      <c r="A229" s="3" t="n">
        <v>228</v>
      </c>
      <c r="B229" s="3" t="inlineStr">
        <is>
          <t>2026-08-15</t>
        </is>
      </c>
      <c r="C229" s="14" t="n">
        <v>-3.933691914426163e-06</v>
      </c>
    </row>
    <row r="230">
      <c r="A230" s="3" t="n">
        <v>229</v>
      </c>
      <c r="B230" s="3" t="inlineStr">
        <is>
          <t>2026-08-16</t>
        </is>
      </c>
      <c r="C230" s="14" t="n">
        <v>-1.783691641321639e-05</v>
      </c>
    </row>
    <row r="231">
      <c r="A231" s="3" t="n">
        <v>230</v>
      </c>
      <c r="B231" s="3" t="inlineStr">
        <is>
          <t>2026-08-17</t>
        </is>
      </c>
      <c r="C231" s="14" t="n">
        <v>7.094110333127901e-05</v>
      </c>
    </row>
    <row r="232">
      <c r="A232" s="3" t="n">
        <v>231</v>
      </c>
      <c r="B232" s="3" t="inlineStr">
        <is>
          <t>2026-08-18</t>
        </is>
      </c>
      <c r="C232" s="14" t="n">
        <v>2.751764441200066e-05</v>
      </c>
    </row>
    <row r="233">
      <c r="A233" s="3" t="n">
        <v>232</v>
      </c>
      <c r="B233" s="3" t="inlineStr">
        <is>
          <t>2026-08-20</t>
        </is>
      </c>
      <c r="C233" s="14" t="n">
        <v>-9.768179734237492e-05</v>
      </c>
    </row>
    <row r="234">
      <c r="A234" s="3" t="n">
        <v>233</v>
      </c>
      <c r="B234" s="3" t="inlineStr">
        <is>
          <t>2026-08-21</t>
        </is>
      </c>
      <c r="C234" s="14" t="n">
        <v>-0.0001030248449751</v>
      </c>
    </row>
    <row r="235">
      <c r="A235" s="3" t="n">
        <v>234</v>
      </c>
      <c r="B235" s="3" t="inlineStr">
        <is>
          <t>2026-08-22</t>
        </is>
      </c>
      <c r="C235" s="14" t="n">
        <v>-0.0001664348819758</v>
      </c>
    </row>
    <row r="236">
      <c r="A236" s="3" t="n">
        <v>235</v>
      </c>
      <c r="B236" s="3" t="inlineStr">
        <is>
          <t>2026-08-23</t>
        </is>
      </c>
      <c r="C236" s="14" t="n">
        <v>5.968497134745121e-05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2026-09-10T17:29:05Z</dcterms:created>
  <dcterms:modified xmlns:dcterms="http://purl.org/dc/terms/" xmlns:xsi="http://www.w3.org/2001/XMLSchema-instance" xsi:type="dcterms:W3CDTF">2026-09-10T17:29:06Z</dcterms:modified>
</cp:coreProperties>
</file>