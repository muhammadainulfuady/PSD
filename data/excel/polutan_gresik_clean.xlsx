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EMESTER 5 TIF 2026\PSD\mynewbook\data\excel\"/>
    </mc:Choice>
  </mc:AlternateContent>
  <xr:revisionPtr revIDLastSave="0" documentId="13_ncr:1_{50E37EB2-DF75-4398-8A2D-4F6C37DB3E69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Data_Terisi" sheetId="1" r:id="rId1"/>
    <sheet name="CH4_Clean" sheetId="3" r:id="rId2"/>
    <sheet name="CO_Clean" sheetId="4" r:id="rId3"/>
    <sheet name="NO2_Clean" sheetId="5" r:id="rId4"/>
    <sheet name="SO2_Clean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E6" i="4"/>
  <c r="E7" i="3"/>
  <c r="E8" i="4"/>
  <c r="L3" i="6"/>
  <c r="M2" i="6" s="1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O2" i="6" s="1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K2" i="6"/>
  <c r="E6" i="6" s="1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G2" i="5"/>
  <c r="O2" i="4"/>
  <c r="M2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" i="4"/>
  <c r="E5" i="6"/>
  <c r="G3" i="6"/>
  <c r="G2" i="6"/>
  <c r="E3" i="6"/>
  <c r="E2" i="6"/>
  <c r="E5" i="5"/>
  <c r="G3" i="5"/>
  <c r="E3" i="5"/>
  <c r="E2" i="5"/>
  <c r="E5" i="4"/>
  <c r="E4" i="4"/>
  <c r="G3" i="4"/>
  <c r="G2" i="4"/>
  <c r="E3" i="4"/>
  <c r="E2" i="4"/>
  <c r="E2" i="3"/>
  <c r="E5" i="3"/>
  <c r="G3" i="3"/>
  <c r="E4" i="3" s="1"/>
  <c r="G2" i="3"/>
  <c r="E3" i="3"/>
  <c r="E4" i="5" l="1"/>
  <c r="E7" i="4"/>
  <c r="E4" i="6"/>
  <c r="J14" i="6"/>
  <c r="J19" i="6"/>
  <c r="J23" i="6"/>
  <c r="J30" i="6"/>
  <c r="J32" i="6"/>
  <c r="J13" i="6"/>
  <c r="J16" i="6"/>
  <c r="J24" i="6"/>
  <c r="J25" i="6"/>
  <c r="J28" i="6"/>
  <c r="J29" i="6"/>
  <c r="J7" i="6"/>
  <c r="J15" i="6"/>
  <c r="J17" i="6"/>
  <c r="J18" i="6"/>
  <c r="J20" i="6"/>
  <c r="J22" i="6"/>
  <c r="J2" i="6"/>
  <c r="J3" i="6"/>
  <c r="J4" i="6"/>
  <c r="J6" i="6"/>
  <c r="J10" i="6"/>
  <c r="J11" i="6"/>
  <c r="J21" i="6"/>
  <c r="J26" i="6"/>
  <c r="J27" i="6"/>
  <c r="J31" i="6"/>
  <c r="J5" i="6"/>
  <c r="J8" i="6"/>
  <c r="J9" i="6"/>
  <c r="J12" i="6"/>
  <c r="J2" i="5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K2" i="3" s="1"/>
  <c r="J188" i="5" l="1"/>
  <c r="J187" i="5"/>
  <c r="J186" i="5"/>
  <c r="J185" i="5"/>
  <c r="J184" i="5"/>
  <c r="J183" i="5"/>
  <c r="J182" i="5"/>
  <c r="J181" i="5"/>
  <c r="J180" i="5"/>
  <c r="J179" i="5"/>
  <c r="J178" i="5"/>
  <c r="J177" i="5"/>
  <c r="J176" i="5"/>
  <c r="J175" i="5"/>
  <c r="J174" i="5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N34" i="4"/>
  <c r="N35" i="4"/>
  <c r="N38" i="4"/>
  <c r="N40" i="4"/>
  <c r="N42" i="4"/>
  <c r="N44" i="4"/>
  <c r="N46" i="4"/>
  <c r="N48" i="4"/>
  <c r="N50" i="4"/>
  <c r="N51" i="4"/>
  <c r="N52" i="4"/>
  <c r="N55" i="4"/>
  <c r="N57" i="4"/>
  <c r="N59" i="4"/>
  <c r="N61" i="4"/>
  <c r="N64" i="4"/>
  <c r="N65" i="4"/>
  <c r="N68" i="4"/>
  <c r="N71" i="4"/>
  <c r="N74" i="4"/>
  <c r="N77" i="4"/>
  <c r="N79" i="4"/>
  <c r="N82" i="4"/>
  <c r="N85" i="4"/>
  <c r="N88" i="4"/>
  <c r="N91" i="4"/>
  <c r="N94" i="4"/>
  <c r="N97" i="4"/>
  <c r="N100" i="4"/>
  <c r="N104" i="4"/>
  <c r="N108" i="4"/>
  <c r="N110" i="4"/>
  <c r="N113" i="4"/>
  <c r="N116" i="4"/>
  <c r="N119" i="4"/>
  <c r="N124" i="4"/>
  <c r="N126" i="4"/>
  <c r="N128" i="4"/>
  <c r="N130" i="4"/>
  <c r="N133" i="4"/>
  <c r="N139" i="4"/>
  <c r="N142" i="4"/>
  <c r="N146" i="4"/>
  <c r="N148" i="4"/>
  <c r="N150" i="4"/>
  <c r="N153" i="4"/>
  <c r="N155" i="4"/>
  <c r="N163" i="4"/>
  <c r="N166" i="4"/>
  <c r="N168" i="4"/>
  <c r="N170" i="4"/>
  <c r="N172" i="4"/>
  <c r="N175" i="4"/>
  <c r="N181" i="4"/>
  <c r="N183" i="4"/>
  <c r="N190" i="4"/>
  <c r="N196" i="4"/>
  <c r="N198" i="4"/>
  <c r="N200" i="4"/>
  <c r="N202" i="4"/>
  <c r="N203" i="4"/>
  <c r="N204" i="4"/>
  <c r="N205" i="4"/>
  <c r="N206" i="4"/>
  <c r="N207" i="4"/>
  <c r="N208" i="4"/>
  <c r="N209" i="4"/>
  <c r="N210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122" i="4"/>
  <c r="N132" i="4"/>
  <c r="N134" i="4"/>
  <c r="N136" i="4"/>
  <c r="N138" i="4"/>
  <c r="N143" i="4"/>
  <c r="N161" i="4"/>
  <c r="N164" i="4"/>
  <c r="N167" i="4"/>
  <c r="N173" i="4"/>
  <c r="N178" i="4"/>
  <c r="N185" i="4"/>
  <c r="N188" i="4"/>
  <c r="N192" i="4"/>
  <c r="N195" i="4"/>
  <c r="N54" i="4"/>
  <c r="N62" i="4"/>
  <c r="N66" i="4"/>
  <c r="N69" i="4"/>
  <c r="N73" i="4"/>
  <c r="N76" i="4"/>
  <c r="N78" i="4"/>
  <c r="N81" i="4"/>
  <c r="N84" i="4"/>
  <c r="N86" i="4"/>
  <c r="N89" i="4"/>
  <c r="N92" i="4"/>
  <c r="N95" i="4"/>
  <c r="N99" i="4"/>
  <c r="N102" i="4"/>
  <c r="N106" i="4"/>
  <c r="N112" i="4"/>
  <c r="N115" i="4"/>
  <c r="N118" i="4"/>
  <c r="N120" i="4"/>
  <c r="N125" i="4"/>
  <c r="N127" i="4"/>
  <c r="N129" i="4"/>
  <c r="N141" i="4"/>
  <c r="N145" i="4"/>
  <c r="N147" i="4"/>
  <c r="N149" i="4"/>
  <c r="N152" i="4"/>
  <c r="N154" i="4"/>
  <c r="N156" i="4"/>
  <c r="N158" i="4"/>
  <c r="N165" i="4"/>
  <c r="N169" i="4"/>
  <c r="N174" i="4"/>
  <c r="N177" i="4"/>
  <c r="N180" i="4"/>
  <c r="N191" i="4"/>
  <c r="N194" i="4"/>
  <c r="N197" i="4"/>
  <c r="N199" i="4"/>
  <c r="N201" i="4"/>
  <c r="N159" i="4"/>
  <c r="N33" i="4"/>
  <c r="N36" i="4"/>
  <c r="N37" i="4"/>
  <c r="N39" i="4"/>
  <c r="N41" i="4"/>
  <c r="N43" i="4"/>
  <c r="N45" i="4"/>
  <c r="N47" i="4"/>
  <c r="N49" i="4"/>
  <c r="N53" i="4"/>
  <c r="N56" i="4"/>
  <c r="N58" i="4"/>
  <c r="N60" i="4"/>
  <c r="N63" i="4"/>
  <c r="N67" i="4"/>
  <c r="N70" i="4"/>
  <c r="N72" i="4"/>
  <c r="N75" i="4"/>
  <c r="N80" i="4"/>
  <c r="N83" i="4"/>
  <c r="N87" i="4"/>
  <c r="N90" i="4"/>
  <c r="N93" i="4"/>
  <c r="N96" i="4"/>
  <c r="N98" i="4"/>
  <c r="N101" i="4"/>
  <c r="N103" i="4"/>
  <c r="N105" i="4"/>
  <c r="N107" i="4"/>
  <c r="N109" i="4"/>
  <c r="N111" i="4"/>
  <c r="N114" i="4"/>
  <c r="N117" i="4"/>
  <c r="N121" i="4"/>
  <c r="N123" i="4"/>
  <c r="N131" i="4"/>
  <c r="N135" i="4"/>
  <c r="N137" i="4"/>
  <c r="N140" i="4"/>
  <c r="N144" i="4"/>
  <c r="N151" i="4"/>
  <c r="N160" i="4"/>
  <c r="N162" i="4"/>
  <c r="N176" i="4"/>
  <c r="N182" i="4"/>
  <c r="N186" i="4"/>
  <c r="N189" i="4"/>
  <c r="N193" i="4"/>
  <c r="N157" i="4"/>
  <c r="N171" i="4"/>
  <c r="N179" i="4"/>
  <c r="N184" i="4"/>
  <c r="N18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N8" i="3"/>
  <c r="E7" i="6"/>
  <c r="K2" i="5" l="1"/>
  <c r="E6" i="5" s="1"/>
  <c r="E7" i="5" s="1"/>
  <c r="L2" i="5"/>
  <c r="N2" i="5"/>
  <c r="N7" i="3"/>
  <c r="N5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N4" i="3"/>
  <c r="N25" i="3"/>
  <c r="N22" i="3"/>
  <c r="N18" i="3"/>
  <c r="N16" i="3"/>
  <c r="L31" i="3"/>
  <c r="N2" i="3"/>
  <c r="N23" i="3"/>
  <c r="N19" i="3"/>
  <c r="N15" i="3"/>
  <c r="L30" i="3"/>
  <c r="N30" i="3"/>
  <c r="N29" i="3"/>
  <c r="N27" i="3"/>
  <c r="N13" i="3"/>
  <c r="N11" i="3"/>
  <c r="N9" i="3"/>
  <c r="L4" i="3"/>
  <c r="L3" i="3"/>
  <c r="N6" i="3"/>
  <c r="N3" i="3"/>
  <c r="N24" i="3"/>
  <c r="N20" i="3"/>
  <c r="L2" i="3"/>
  <c r="N32" i="3"/>
  <c r="N21" i="3"/>
  <c r="N17" i="3"/>
  <c r="L32" i="3"/>
  <c r="N31" i="3"/>
  <c r="N28" i="3"/>
  <c r="N26" i="3"/>
  <c r="N14" i="3"/>
  <c r="N12" i="3"/>
  <c r="N10" i="3"/>
  <c r="N2" i="6"/>
  <c r="L2" i="6"/>
  <c r="L20" i="5"/>
  <c r="L13" i="5"/>
  <c r="L10" i="5"/>
  <c r="L9" i="5"/>
  <c r="L6" i="5"/>
  <c r="N2" i="4"/>
  <c r="L2" i="4"/>
  <c r="N5" i="5" l="1"/>
  <c r="N9" i="5"/>
  <c r="N28" i="5"/>
  <c r="N36" i="5"/>
  <c r="N39" i="5"/>
  <c r="N50" i="5"/>
  <c r="N54" i="5"/>
  <c r="N69" i="5"/>
  <c r="N83" i="5"/>
  <c r="L52" i="5"/>
  <c r="N13" i="5"/>
  <c r="N43" i="5"/>
  <c r="N4" i="5"/>
  <c r="N8" i="5"/>
  <c r="N20" i="5"/>
  <c r="N26" i="5"/>
  <c r="N34" i="5"/>
  <c r="N41" i="5"/>
  <c r="N52" i="5"/>
  <c r="N58" i="5"/>
  <c r="N71" i="5"/>
  <c r="N91" i="5"/>
  <c r="N97" i="5"/>
  <c r="N109" i="5"/>
  <c r="N116" i="5"/>
  <c r="N131" i="5"/>
  <c r="N147" i="5"/>
  <c r="N151" i="5"/>
  <c r="N156" i="5"/>
  <c r="N170" i="5"/>
  <c r="N174" i="5"/>
  <c r="N182" i="5"/>
  <c r="L54" i="5"/>
  <c r="L56" i="5"/>
  <c r="L58" i="5"/>
  <c r="L60" i="5"/>
  <c r="L67" i="5"/>
  <c r="L69" i="5"/>
  <c r="L72" i="5"/>
  <c r="L74" i="5"/>
  <c r="L80" i="5"/>
  <c r="L82" i="5"/>
  <c r="L84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N6" i="5"/>
  <c r="N12" i="5"/>
  <c r="N14" i="5"/>
  <c r="N16" i="5"/>
  <c r="N22" i="5"/>
  <c r="N24" i="5"/>
  <c r="N27" i="5"/>
  <c r="N29" i="5"/>
  <c r="N32" i="5"/>
  <c r="N37" i="5"/>
  <c r="N45" i="5"/>
  <c r="N48" i="5"/>
  <c r="N56" i="5"/>
  <c r="N61" i="5"/>
  <c r="N65" i="5"/>
  <c r="N77" i="5"/>
  <c r="N85" i="5"/>
  <c r="N89" i="5"/>
  <c r="N95" i="5"/>
  <c r="N99" i="5"/>
  <c r="N103" i="5"/>
  <c r="N111" i="5"/>
  <c r="N115" i="5"/>
  <c r="N122" i="5"/>
  <c r="N127" i="5"/>
  <c r="N133" i="5"/>
  <c r="N150" i="5"/>
  <c r="N160" i="5"/>
  <c r="N168" i="5"/>
  <c r="N178" i="5"/>
  <c r="L34" i="5"/>
  <c r="L36" i="5"/>
  <c r="L39" i="5"/>
  <c r="L42" i="5"/>
  <c r="L63" i="5"/>
  <c r="L66" i="5"/>
  <c r="L70" i="5"/>
  <c r="L73" i="5"/>
  <c r="L75" i="5"/>
  <c r="L79" i="5"/>
  <c r="L83" i="5"/>
  <c r="L88" i="5"/>
  <c r="N155" i="5"/>
  <c r="N157" i="5"/>
  <c r="N161" i="5"/>
  <c r="N165" i="5"/>
  <c r="N169" i="5"/>
  <c r="N173" i="5"/>
  <c r="N175" i="5"/>
  <c r="N179" i="5"/>
  <c r="N183" i="5"/>
  <c r="N185" i="5"/>
  <c r="L43" i="5"/>
  <c r="L45" i="5"/>
  <c r="L47" i="5"/>
  <c r="L48" i="5"/>
  <c r="L50" i="5"/>
  <c r="L51" i="5"/>
  <c r="N3" i="5"/>
  <c r="N7" i="5"/>
  <c r="N11" i="5"/>
  <c r="N17" i="5"/>
  <c r="N19" i="5"/>
  <c r="N25" i="5"/>
  <c r="N31" i="5"/>
  <c r="N67" i="5"/>
  <c r="N75" i="5"/>
  <c r="N79" i="5"/>
  <c r="N87" i="5"/>
  <c r="N94" i="5"/>
  <c r="N101" i="5"/>
  <c r="N106" i="5"/>
  <c r="N113" i="5"/>
  <c r="N118" i="5"/>
  <c r="N123" i="5"/>
  <c r="N135" i="5"/>
  <c r="N149" i="5"/>
  <c r="N154" i="5"/>
  <c r="N162" i="5"/>
  <c r="N166" i="5"/>
  <c r="N172" i="5"/>
  <c r="N176" i="5"/>
  <c r="N180" i="5"/>
  <c r="N184" i="5"/>
  <c r="N188" i="5"/>
  <c r="L33" i="5"/>
  <c r="L38" i="5"/>
  <c r="L40" i="5"/>
  <c r="L57" i="5"/>
  <c r="L59" i="5"/>
  <c r="L62" i="5"/>
  <c r="L64" i="5"/>
  <c r="L76" i="5"/>
  <c r="L78" i="5"/>
  <c r="L81" i="5"/>
  <c r="L85" i="5"/>
  <c r="L87" i="5"/>
  <c r="N152" i="5"/>
  <c r="N159" i="5"/>
  <c r="N163" i="5"/>
  <c r="N167" i="5"/>
  <c r="N171" i="5"/>
  <c r="N177" i="5"/>
  <c r="N181" i="5"/>
  <c r="N187" i="5"/>
  <c r="L44" i="5"/>
  <c r="L46" i="5"/>
  <c r="L49" i="5"/>
  <c r="L53" i="5"/>
  <c r="N10" i="5"/>
  <c r="N15" i="5"/>
  <c r="N18" i="5"/>
  <c r="N21" i="5"/>
  <c r="N23" i="5"/>
  <c r="N46" i="5"/>
  <c r="N60" i="5"/>
  <c r="N63" i="5"/>
  <c r="N73" i="5"/>
  <c r="N81" i="5"/>
  <c r="N92" i="5"/>
  <c r="N105" i="5"/>
  <c r="N108" i="5"/>
  <c r="N120" i="5"/>
  <c r="N125" i="5"/>
  <c r="N129" i="5"/>
  <c r="N146" i="5"/>
  <c r="N148" i="5"/>
  <c r="N153" i="5"/>
  <c r="N158" i="5"/>
  <c r="N164" i="5"/>
  <c r="N186" i="5"/>
  <c r="L35" i="5"/>
  <c r="L37" i="5"/>
  <c r="L41" i="5"/>
  <c r="L55" i="5"/>
  <c r="L61" i="5"/>
  <c r="L65" i="5"/>
  <c r="L68" i="5"/>
  <c r="L71" i="5"/>
  <c r="L77" i="5"/>
  <c r="L86" i="5"/>
  <c r="N30" i="5"/>
  <c r="N33" i="5"/>
  <c r="N35" i="5"/>
  <c r="N38" i="5"/>
  <c r="N40" i="5"/>
  <c r="N42" i="5"/>
  <c r="N44" i="5"/>
  <c r="N47" i="5"/>
  <c r="N49" i="5"/>
  <c r="N51" i="5"/>
  <c r="N53" i="5"/>
  <c r="N55" i="5"/>
  <c r="N57" i="5"/>
  <c r="N59" i="5"/>
  <c r="N62" i="5"/>
  <c r="N64" i="5"/>
  <c r="N66" i="5"/>
  <c r="N68" i="5"/>
  <c r="N70" i="5"/>
  <c r="N72" i="5"/>
  <c r="N74" i="5"/>
  <c r="N76" i="5"/>
  <c r="N78" i="5"/>
  <c r="N80" i="5"/>
  <c r="N82" i="5"/>
  <c r="N84" i="5"/>
  <c r="N86" i="5"/>
  <c r="N88" i="5"/>
  <c r="N90" i="5"/>
  <c r="N93" i="5"/>
  <c r="N96" i="5"/>
  <c r="N98" i="5"/>
  <c r="N100" i="5"/>
  <c r="N102" i="5"/>
  <c r="N104" i="5"/>
  <c r="N107" i="5"/>
  <c r="N110" i="5"/>
  <c r="N112" i="5"/>
  <c r="N114" i="5"/>
  <c r="N117" i="5"/>
  <c r="N119" i="5"/>
  <c r="N121" i="5"/>
  <c r="N124" i="5"/>
  <c r="N126" i="5"/>
  <c r="N128" i="5"/>
  <c r="N130" i="5"/>
  <c r="N132" i="5"/>
  <c r="N134" i="5"/>
  <c r="N136" i="5"/>
  <c r="N137" i="5"/>
  <c r="N138" i="5"/>
  <c r="N139" i="5"/>
  <c r="N140" i="5"/>
  <c r="N141" i="5"/>
  <c r="N142" i="5"/>
  <c r="N143" i="5"/>
  <c r="N144" i="5"/>
  <c r="N145" i="5"/>
  <c r="L27" i="5"/>
  <c r="L26" i="5"/>
  <c r="L3" i="5"/>
  <c r="L7" i="5"/>
  <c r="L19" i="5"/>
  <c r="L22" i="5"/>
  <c r="L18" i="5"/>
  <c r="L31" i="5"/>
  <c r="L8" i="5"/>
  <c r="L28" i="5"/>
  <c r="L5" i="5"/>
  <c r="L32" i="5"/>
  <c r="L30" i="5"/>
  <c r="L14" i="5"/>
  <c r="L25" i="5"/>
  <c r="L17" i="5"/>
  <c r="L29" i="5"/>
  <c r="L24" i="5"/>
  <c r="L23" i="5"/>
  <c r="L12" i="5"/>
  <c r="L11" i="5"/>
  <c r="L4" i="5"/>
  <c r="L21" i="5"/>
  <c r="L15" i="5"/>
  <c r="L16" i="5"/>
  <c r="O2" i="3"/>
  <c r="E9" i="3" s="1"/>
  <c r="M2" i="3"/>
  <c r="E8" i="3" s="1"/>
  <c r="E9" i="6"/>
  <c r="E8" i="6"/>
  <c r="E9" i="4"/>
  <c r="O2" i="5" l="1"/>
  <c r="E9" i="5" s="1"/>
  <c r="M2" i="5"/>
  <c r="E8" i="5" s="1"/>
</calcChain>
</file>

<file path=xl/sharedStrings.xml><?xml version="1.0" encoding="utf-8"?>
<sst xmlns="http://schemas.openxmlformats.org/spreadsheetml/2006/main" count="984" uniqueCount="279">
  <si>
    <t>date</t>
  </si>
  <si>
    <t>CH4</t>
  </si>
  <si>
    <t>CO</t>
  </si>
  <si>
    <t>NO2</t>
  </si>
  <si>
    <t>SO2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</si>
  <si>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</si>
  <si>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</si>
  <si>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</si>
  <si>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</si>
  <si>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</si>
  <si>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</si>
  <si>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</si>
  <si>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</si>
  <si>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</si>
  <si>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</si>
  <si>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</si>
  <si>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</si>
  <si>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</si>
  <si>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</si>
  <si>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</si>
  <si>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</si>
  <si>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</si>
  <si>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</si>
  <si>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</si>
  <si>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</si>
  <si>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</si>
  <si>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</si>
  <si>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</si>
  <si>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2025-09-19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</si>
  <si>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</si>
  <si>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</si>
  <si>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</si>
  <si>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</si>
  <si>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</si>
  <si>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</si>
  <si>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</si>
  <si>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</si>
  <si>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</si>
  <si>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</si>
  <si>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</si>
  <si>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</si>
  <si>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</si>
  <si>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</si>
  <si>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</si>
  <si>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</si>
  <si>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</si>
  <si>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</si>
  <si>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</si>
  <si>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</si>
  <si>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</si>
  <si>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</si>
  <si>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2025-10-16</t>
  </si>
  <si>
    <t>2025-10-17</t>
  </si>
  <si>
    <t>2025-10-18</t>
  </si>
  <si>
    <t>2025-10-19</t>
  </si>
  <si>
    <t>2025-10-26</t>
  </si>
  <si>
    <t>2025-10-28</t>
  </si>
  <si>
    <t>2025-11-05</t>
  </si>
  <si>
    <t>2025-11-07</t>
  </si>
  <si>
    <t>2025-11-11</t>
  </si>
  <si>
    <t>2025-11-18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</si>
  <si>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</si>
  <si>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</si>
  <si>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</si>
  <si>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</si>
  <si>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</si>
  <si>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</si>
  <si>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</si>
  <si>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2025-11-29</t>
  </si>
  <si>
    <t>2025-12-01</t>
  </si>
  <si>
    <t>2025-12-02</t>
  </si>
  <si>
    <t>2025-12-03</t>
  </si>
  <si>
    <t>2025-12-05</t>
  </si>
  <si>
    <t>2025-12-07</t>
  </si>
  <si>
    <t>2025-12-08</t>
  </si>
  <si>
    <t>2025-12-10</t>
  </si>
  <si>
    <t>2025-12-11</t>
  </si>
  <si>
    <t>2025-12-12</t>
  </si>
  <si>
    <t>2025-12-13</t>
  </si>
  <si>
    <t>2025-12-15</t>
  </si>
  <si>
    <t>2025-12-17</t>
  </si>
  <si>
    <t>2025-12-21</t>
  </si>
  <si>
    <t>2025-12-22</t>
  </si>
  <si>
    <t>2025-12-23</t>
  </si>
  <si>
    <t>2025-12-24</t>
  </si>
  <si>
    <t>2025-12-25</t>
  </si>
  <si>
    <t>2025-12-28</t>
  </si>
  <si>
    <t>2025-12-29</t>
  </si>
  <si>
    <t>2026-01-03</t>
  </si>
  <si>
    <t>2026-01-04</t>
  </si>
  <si>
    <t>2026-01-06</t>
  </si>
  <si>
    <t>2026-01-08</t>
  </si>
  <si>
    <t>2026-01-14</t>
  </si>
  <si>
    <t>2026-01-19</t>
  </si>
  <si>
    <t>2026-01-20</t>
  </si>
  <si>
    <t>2026-01-21</t>
  </si>
  <si>
    <t>2026-01-24</t>
  </si>
  <si>
    <t>2026-01-29</t>
  </si>
  <si>
    <t>2026-01-31</t>
  </si>
  <si>
    <t>2026-02-02</t>
  </si>
  <si>
    <t>2026-02-03</t>
  </si>
  <si>
    <t>2026-02-04</t>
  </si>
  <si>
    <t>2026-02-06</t>
  </si>
  <si>
    <t>2026-02-14</t>
  </si>
  <si>
    <t>2026-02-15</t>
  </si>
  <si>
    <t>2026-02-16</t>
  </si>
  <si>
    <t>2026-02-17</t>
  </si>
  <si>
    <t>2026-02-27</t>
  </si>
  <si>
    <t>2026-02-28</t>
  </si>
  <si>
    <t>2026-03-03</t>
  </si>
  <si>
    <t>2026-03-04</t>
  </si>
  <si>
    <t>2026-03-05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</si>
  <si>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</si>
  <si>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</si>
  <si>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</si>
  <si>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</si>
  <si>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</si>
  <si>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</si>
  <si>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</si>
  <si>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</si>
  <si>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</si>
  <si>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</si>
  <si>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</si>
  <si>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</si>
  <si>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</si>
  <si>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2026-03-23</t>
  </si>
  <si>
    <t>2026-03-24</t>
  </si>
  <si>
    <t>2026-03-26</t>
  </si>
  <si>
    <t>2026-03-27</t>
  </si>
  <si>
    <t>2026-03-29</t>
  </si>
  <si>
    <t>2026-04-01</t>
  </si>
  <si>
    <t>2026-04-02</t>
  </si>
  <si>
    <t>2026-04-03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</si>
  <si>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</si>
  <si>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</si>
  <si>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</si>
  <si>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</si>
  <si>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</si>
  <si>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</si>
  <si>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</si>
  <si>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</si>
  <si>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</si>
  <si>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</si>
  <si>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</si>
  <si>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</si>
  <si>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</si>
  <si>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</si>
  <si>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</si>
  <si>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</si>
  <si>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2026-04-23</t>
  </si>
  <si>
    <t>2026-04-25</t>
  </si>
  <si>
    <t>2026-04-26</t>
  </si>
  <si>
    <t>2026-05-01</t>
  </si>
  <si>
    <t>2026-05-03</t>
  </si>
  <si>
    <t>2026-05-04</t>
  </si>
  <si>
    <t>2026-05-05</t>
  </si>
  <si>
    <t>2026-05-06</t>
  </si>
  <si>
    <t>2026-05-07</t>
  </si>
  <si>
    <t>2026-05-08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</si>
  <si>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</si>
  <si>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</si>
  <si>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</si>
  <si>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</si>
  <si>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</si>
  <si>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</si>
  <si>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</si>
  <si>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</si>
  <si>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</si>
  <si>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</si>
  <si>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</si>
  <si>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</si>
  <si>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</si>
  <si>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</si>
  <si>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</si>
  <si>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</si>
  <si>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</si>
  <si>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</si>
  <si>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</si>
  <si>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</si>
  <si>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</si>
  <si>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</si>
  <si>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</si>
  <si>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</si>
  <si>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</si>
  <si>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</si>
  <si>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</si>
  <si>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</si>
  <si>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</si>
  <si>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</si>
  <si>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</si>
  <si>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</si>
  <si>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</si>
  <si>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</si>
  <si>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</si>
  <si>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</si>
  <si>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</si>
  <si>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</si>
  <si>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</si>
  <si>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</si>
  <si>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</si>
  <si>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</si>
  <si>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</si>
  <si>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</si>
  <si>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</si>
  <si>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</si>
  <si>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</si>
  <si>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</si>
  <si>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</si>
  <si>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</si>
  <si>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</si>
  <si>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</si>
  <si>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</si>
  <si>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</si>
  <si>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</si>
  <si>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</si>
  <si>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</si>
  <si>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</si>
  <si>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</si>
  <si>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</si>
  <si>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</si>
  <si>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</si>
  <si>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</si>
  <si>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</si>
  <si>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</si>
  <si>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</si>
  <si>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</si>
  <si>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</si>
  <si>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</si>
  <si>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</si>
  <si>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</si>
  <si>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</si>
  <si>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</si>
  <si>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</si>
  <si>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</si>
  <si>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</si>
  <si>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</si>
  <si>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</si>
  <si>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</si>
  <si>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</si>
  <si>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</si>
  <si>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</si>
  <si>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</si>
  <si>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</si>
  <si>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</si>
  <si>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</si>
  <si>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</si>
  <si>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</si>
  <si>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</si>
  <si>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</si>
  <si>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</si>
  <si>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</si>
  <si>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</si>
  <si>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</si>
  <si>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</si>
  <si>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</si>
  <si>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</si>
  <si>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</si>
  <si>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</si>
  <si>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</si>
  <si>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</si>
  <si>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</si>
  <si>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</si>
  <si>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</si>
  <si>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min</t>
  </si>
  <si>
    <t>max</t>
  </si>
  <si>
    <t>mean</t>
  </si>
  <si>
    <t>jumlah baris data</t>
  </si>
  <si>
    <t>jumlah total data</t>
  </si>
  <si>
    <t>median</t>
  </si>
  <si>
    <t>variansi</t>
  </si>
  <si>
    <t>std deviasi</t>
  </si>
  <si>
    <t>pangkat 2 selisih</t>
  </si>
  <si>
    <t>jumlah pangkat 2 selisih</t>
  </si>
  <si>
    <t>pangkat 3 selisih</t>
  </si>
  <si>
    <t>jumlah pangkat 3 selisih</t>
  </si>
  <si>
    <t>kemiringan skewnes</t>
  </si>
  <si>
    <t>keruncingan kurtosis</t>
  </si>
  <si>
    <t>pangkat 4 selisih</t>
  </si>
  <si>
    <t>jumlah pangkat 4 selisih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</si>
</sst>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9"/>
  <sheetViews>
    <sheetView workbookViewId="0">
      <selection activeCell="H9" sqref="H9"/>
    </sheetView>
  </sheetViews>
  <sheetFormatPr defaultRowHeight="14.5" x14ac:dyDescent="0.35"/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C2">
        <v>3.7918452173471402E-2</v>
      </c>
      <c r="D2">
        <v>9.6467032562941326E-5</v>
      </c>
      <c r="E2">
        <v>3.4663605038069998E-4</v>
      </c>
    </row>
    <row r="3" spans="1:5" x14ac:dyDescent="0.35">
      <c r="A3" t="s">
        <v>6</v>
      </c>
      <c r="B3">
        <v>1867.289428710937</v>
      </c>
      <c r="C3">
        <v>2.8239663690328501E-2</v>
      </c>
      <c r="D3">
        <v>4.6442881284747273E-5</v>
      </c>
      <c r="E3">
        <v>8.1744452472769995E-4</v>
      </c>
    </row>
    <row r="4" spans="1:5" x14ac:dyDescent="0.35">
      <c r="A4" t="s">
        <v>7</v>
      </c>
      <c r="D4">
        <v>6.822789873695001E-5</v>
      </c>
      <c r="E4">
        <v>-7.9877756070340002E-4</v>
      </c>
    </row>
    <row r="5" spans="1:5" x14ac:dyDescent="0.35">
      <c r="A5" t="s">
        <v>8</v>
      </c>
      <c r="C5">
        <v>3.4187458455562501E-2</v>
      </c>
      <c r="E5">
        <v>-5.1346997497600001E-4</v>
      </c>
    </row>
    <row r="6" spans="1:5" x14ac:dyDescent="0.35">
      <c r="A6" t="s">
        <v>9</v>
      </c>
      <c r="C6">
        <v>2.7449695393443101E-2</v>
      </c>
      <c r="D6">
        <v>6.0107740864623338E-5</v>
      </c>
      <c r="E6">
        <v>3.2733147963880002E-4</v>
      </c>
    </row>
    <row r="7" spans="1:5" x14ac:dyDescent="0.35">
      <c r="A7" t="s">
        <v>10</v>
      </c>
      <c r="C7">
        <v>2.38408725708723E-2</v>
      </c>
      <c r="D7">
        <v>8.1563171988818794E-5</v>
      </c>
      <c r="E7">
        <v>-5.0312548410147429E-5</v>
      </c>
    </row>
    <row r="8" spans="1:5" x14ac:dyDescent="0.35">
      <c r="A8" t="s">
        <v>11</v>
      </c>
      <c r="C8">
        <v>2.6330703869461999E-2</v>
      </c>
      <c r="D8">
        <v>3.2386014936491847E-5</v>
      </c>
      <c r="E8">
        <v>4.1422471986149998E-4</v>
      </c>
    </row>
    <row r="9" spans="1:5" x14ac:dyDescent="0.35">
      <c r="A9" t="s">
        <v>12</v>
      </c>
      <c r="C9">
        <v>2.7549641206860501E-2</v>
      </c>
      <c r="D9">
        <v>2.2077210815041329E-5</v>
      </c>
      <c r="E9">
        <v>-5.3441361524160004E-4</v>
      </c>
    </row>
    <row r="10" spans="1:5" x14ac:dyDescent="0.35">
      <c r="A10" t="s">
        <v>13</v>
      </c>
      <c r="C10">
        <v>2.3487672209739598E-2</v>
      </c>
      <c r="D10">
        <v>4.5435735955834389E-5</v>
      </c>
      <c r="E10">
        <v>5.8351481129648157E-5</v>
      </c>
    </row>
    <row r="11" spans="1:5" x14ac:dyDescent="0.35">
      <c r="A11" t="s">
        <v>14</v>
      </c>
      <c r="C11">
        <v>2.5976773351430799E-2</v>
      </c>
      <c r="D11">
        <v>2.148273415514268E-5</v>
      </c>
      <c r="E11">
        <v>3.6491683567869997E-4</v>
      </c>
    </row>
    <row r="12" spans="1:5" x14ac:dyDescent="0.35">
      <c r="A12" t="s">
        <v>15</v>
      </c>
      <c r="C12">
        <v>2.3833392187952902E-2</v>
      </c>
      <c r="D12">
        <v>7.869069668231532E-5</v>
      </c>
      <c r="E12">
        <v>1.653434264881071E-5</v>
      </c>
    </row>
    <row r="13" spans="1:5" x14ac:dyDescent="0.35">
      <c r="A13" t="s">
        <v>16</v>
      </c>
      <c r="C13">
        <v>2.9989233240485101E-2</v>
      </c>
      <c r="D13">
        <v>6.0423932154662907E-5</v>
      </c>
      <c r="E13">
        <v>6.489308434538E-4</v>
      </c>
    </row>
    <row r="14" spans="1:5" x14ac:dyDescent="0.35">
      <c r="A14" t="s">
        <v>17</v>
      </c>
      <c r="D14">
        <v>3.9507351175416261E-5</v>
      </c>
      <c r="E14">
        <v>6.9190275098662823E-5</v>
      </c>
    </row>
    <row r="15" spans="1:5" x14ac:dyDescent="0.35">
      <c r="A15" t="s">
        <v>18</v>
      </c>
      <c r="C15">
        <v>2.92877703905105E-2</v>
      </c>
      <c r="E15">
        <v>-3.4007747308349999E-4</v>
      </c>
    </row>
    <row r="16" spans="1:5" x14ac:dyDescent="0.35">
      <c r="A16" t="s">
        <v>19</v>
      </c>
      <c r="D16">
        <v>4.8660705942893401E-5</v>
      </c>
      <c r="E16">
        <v>-3.102854534517E-4</v>
      </c>
    </row>
    <row r="17" spans="1:5" x14ac:dyDescent="0.35">
      <c r="A17" t="s">
        <v>20</v>
      </c>
      <c r="C17">
        <v>2.6994796469807601E-2</v>
      </c>
      <c r="E17">
        <v>1.307001075474E-4</v>
      </c>
    </row>
    <row r="18" spans="1:5" x14ac:dyDescent="0.35">
      <c r="A18" t="s">
        <v>21</v>
      </c>
      <c r="C18">
        <v>1.76567398011684E-2</v>
      </c>
      <c r="D18">
        <v>6.452338129747659E-5</v>
      </c>
      <c r="E18">
        <v>-1.081802838598E-4</v>
      </c>
    </row>
    <row r="19" spans="1:5" x14ac:dyDescent="0.35">
      <c r="A19" t="s">
        <v>22</v>
      </c>
      <c r="D19">
        <v>3.931847822968848E-5</v>
      </c>
      <c r="E19">
        <v>-1.0858937166631001E-3</v>
      </c>
    </row>
    <row r="20" spans="1:5" x14ac:dyDescent="0.35">
      <c r="A20" t="s">
        <v>23</v>
      </c>
      <c r="D20">
        <v>3.7898553273407742E-5</v>
      </c>
      <c r="E20">
        <v>2.1183126955289999E-4</v>
      </c>
    </row>
    <row r="21" spans="1:5" x14ac:dyDescent="0.35">
      <c r="A21" t="s">
        <v>24</v>
      </c>
      <c r="B21">
        <v>1854.823608398437</v>
      </c>
      <c r="C21">
        <v>2.90243215858936E-2</v>
      </c>
      <c r="D21">
        <v>5.685467112925835E-5</v>
      </c>
      <c r="E21">
        <v>-5.3932697483105592E-5</v>
      </c>
    </row>
    <row r="22" spans="1:5" x14ac:dyDescent="0.35">
      <c r="A22" t="s">
        <v>25</v>
      </c>
      <c r="C22">
        <v>2.3230222985148399E-2</v>
      </c>
      <c r="D22">
        <v>4.7684367018518969E-5</v>
      </c>
      <c r="E22">
        <v>-1.2662821973200001E-4</v>
      </c>
    </row>
    <row r="23" spans="1:5" x14ac:dyDescent="0.35">
      <c r="A23" t="s">
        <v>26</v>
      </c>
      <c r="C23">
        <v>2.8325650840997599E-2</v>
      </c>
      <c r="D23">
        <v>6.7848144681192935E-5</v>
      </c>
      <c r="E23">
        <v>-4.7590342546754982E-6</v>
      </c>
    </row>
    <row r="24" spans="1:5" x14ac:dyDescent="0.35">
      <c r="A24" t="s">
        <v>27</v>
      </c>
      <c r="C24">
        <v>3.00608240067958E-2</v>
      </c>
      <c r="D24">
        <v>8.3990715211257339E-5</v>
      </c>
      <c r="E24">
        <v>-4.4446467654770002E-4</v>
      </c>
    </row>
    <row r="25" spans="1:5" x14ac:dyDescent="0.35">
      <c r="A25" t="s">
        <v>28</v>
      </c>
      <c r="E25">
        <v>-2.696680894587189E-5</v>
      </c>
    </row>
    <row r="26" spans="1:5" x14ac:dyDescent="0.35">
      <c r="A26" t="s">
        <v>29</v>
      </c>
      <c r="C26">
        <v>2.6376156136393498E-2</v>
      </c>
      <c r="D26">
        <v>6.7211811256129295E-5</v>
      </c>
      <c r="E26">
        <v>1.6217536176549999E-4</v>
      </c>
    </row>
    <row r="27" spans="1:5" x14ac:dyDescent="0.35">
      <c r="A27" t="s">
        <v>30</v>
      </c>
      <c r="C27">
        <v>2.85316295921802E-2</v>
      </c>
      <c r="D27">
        <v>3.6771387385670102E-5</v>
      </c>
      <c r="E27">
        <v>3.4684874117370002E-4</v>
      </c>
    </row>
    <row r="28" spans="1:5" x14ac:dyDescent="0.35">
      <c r="A28" t="s">
        <v>31</v>
      </c>
      <c r="C28">
        <v>3.5185709595680202E-2</v>
      </c>
      <c r="D28">
        <v>4.1204676381310001E-4</v>
      </c>
      <c r="E28">
        <v>5.5477581918229998E-4</v>
      </c>
    </row>
    <row r="29" spans="1:5" x14ac:dyDescent="0.35">
      <c r="A29" t="s">
        <v>32</v>
      </c>
      <c r="C29">
        <v>4.6535134315490702E-2</v>
      </c>
      <c r="D29">
        <v>6.3134444644669997E-4</v>
      </c>
      <c r="E29">
        <v>3.5423366352910001E-4</v>
      </c>
    </row>
    <row r="30" spans="1:5" x14ac:dyDescent="0.35">
      <c r="A30" t="s">
        <v>33</v>
      </c>
      <c r="C30">
        <v>2.5547420606017099E-2</v>
      </c>
      <c r="D30">
        <v>6.4872438088059425E-5</v>
      </c>
      <c r="E30">
        <v>3.8516704807980002E-4</v>
      </c>
    </row>
    <row r="31" spans="1:5" x14ac:dyDescent="0.35">
      <c r="A31" t="s">
        <v>34</v>
      </c>
      <c r="C31">
        <v>2.7639213949441899E-2</v>
      </c>
      <c r="D31">
        <v>4.752714085043408E-5</v>
      </c>
      <c r="E31">
        <v>5.6236607633763917E-5</v>
      </c>
    </row>
    <row r="32" spans="1:5" x14ac:dyDescent="0.35">
      <c r="A32" t="s">
        <v>35</v>
      </c>
      <c r="C32">
        <v>3.6658812314271899E-2</v>
      </c>
      <c r="D32">
        <v>3.3779542718548328E-5</v>
      </c>
      <c r="E32">
        <v>5.9643335407589995E-4</v>
      </c>
    </row>
    <row r="33" spans="1:5" x14ac:dyDescent="0.35">
      <c r="A33" t="s">
        <v>36</v>
      </c>
      <c r="C33">
        <v>3.0118923634290602E-2</v>
      </c>
      <c r="D33">
        <v>4.1814655560301617E-5</v>
      </c>
      <c r="E33">
        <v>-1.50391770148417E-6</v>
      </c>
    </row>
    <row r="34" spans="1:5" x14ac:dyDescent="0.35">
      <c r="A34" t="s">
        <v>37</v>
      </c>
      <c r="C34">
        <v>2.8268573805689801E-2</v>
      </c>
      <c r="D34">
        <v>6.9459187216125429E-5</v>
      </c>
      <c r="E34">
        <v>2.0833239250350001E-4</v>
      </c>
    </row>
    <row r="35" spans="1:5" x14ac:dyDescent="0.35">
      <c r="A35" t="s">
        <v>38</v>
      </c>
      <c r="C35">
        <v>3.0907221138477301E-2</v>
      </c>
      <c r="D35">
        <v>1.136809732997E-4</v>
      </c>
      <c r="E35">
        <v>-3.3325757249250002E-4</v>
      </c>
    </row>
    <row r="36" spans="1:5" x14ac:dyDescent="0.35">
      <c r="A36" t="s">
        <v>39</v>
      </c>
      <c r="C36">
        <v>3.3205050975084298E-2</v>
      </c>
      <c r="D36">
        <v>7.4463408964220434E-5</v>
      </c>
      <c r="E36">
        <v>7.2506409196648747E-5</v>
      </c>
    </row>
    <row r="37" spans="1:5" x14ac:dyDescent="0.35">
      <c r="A37" t="s">
        <v>40</v>
      </c>
      <c r="C37">
        <v>3.2707087695598602E-2</v>
      </c>
      <c r="D37">
        <v>3.1327723263530061E-5</v>
      </c>
      <c r="E37">
        <v>-1.337838421022752E-5</v>
      </c>
    </row>
    <row r="38" spans="1:5" x14ac:dyDescent="0.35">
      <c r="A38" t="s">
        <v>41</v>
      </c>
      <c r="C38">
        <v>3.2199986279010703E-2</v>
      </c>
      <c r="D38">
        <v>5.518067700904794E-5</v>
      </c>
      <c r="E38">
        <v>1.200983533635E-4</v>
      </c>
    </row>
    <row r="39" spans="1:5" x14ac:dyDescent="0.35">
      <c r="A39" t="s">
        <v>42</v>
      </c>
      <c r="C39">
        <v>3.4365653991699198E-2</v>
      </c>
      <c r="D39">
        <v>8.7079824879765511E-5</v>
      </c>
      <c r="E39">
        <v>-3.5880853829439729E-5</v>
      </c>
    </row>
    <row r="40" spans="1:5" x14ac:dyDescent="0.35">
      <c r="A40" t="s">
        <v>43</v>
      </c>
      <c r="C40">
        <v>4.1779834777116699E-2</v>
      </c>
      <c r="D40">
        <v>1.493558374932E-4</v>
      </c>
      <c r="E40">
        <v>-1.004253645078E-4</v>
      </c>
    </row>
    <row r="41" spans="1:5" x14ac:dyDescent="0.35">
      <c r="A41" t="s">
        <v>44</v>
      </c>
      <c r="C41">
        <v>3.6530666053295101E-2</v>
      </c>
    </row>
    <row r="42" spans="1:5" x14ac:dyDescent="0.35">
      <c r="A42" t="s">
        <v>45</v>
      </c>
      <c r="C42">
        <v>4.0541946887969901E-2</v>
      </c>
      <c r="D42">
        <v>1.4810053107789999E-4</v>
      </c>
      <c r="E42">
        <v>-2.1769013255829999E-4</v>
      </c>
    </row>
    <row r="43" spans="1:5" x14ac:dyDescent="0.35">
      <c r="A43" t="s">
        <v>46</v>
      </c>
      <c r="B43">
        <v>1905.000610351562</v>
      </c>
      <c r="C43">
        <v>3.7074372172355603E-2</v>
      </c>
      <c r="D43">
        <v>1.083911120076E-4</v>
      </c>
      <c r="E43">
        <v>1.435211452189E-4</v>
      </c>
    </row>
    <row r="44" spans="1:5" x14ac:dyDescent="0.35">
      <c r="A44" t="s">
        <v>47</v>
      </c>
      <c r="C44">
        <v>3.2592270523309701E-2</v>
      </c>
      <c r="E44">
        <v>2.6097762747659999E-4</v>
      </c>
    </row>
    <row r="45" spans="1:5" x14ac:dyDescent="0.35">
      <c r="A45" t="s">
        <v>48</v>
      </c>
      <c r="C45">
        <v>2.8115686029195699E-2</v>
      </c>
    </row>
    <row r="46" spans="1:5" x14ac:dyDescent="0.35">
      <c r="A46" t="s">
        <v>49</v>
      </c>
      <c r="D46">
        <v>-1.0082445669468141E-6</v>
      </c>
    </row>
    <row r="47" spans="1:5" x14ac:dyDescent="0.35">
      <c r="A47" t="s">
        <v>50</v>
      </c>
      <c r="C47">
        <v>2.9535211622714899E-2</v>
      </c>
      <c r="D47">
        <v>7.6013478974346071E-5</v>
      </c>
      <c r="E47">
        <v>-5.6005774240475148E-5</v>
      </c>
    </row>
    <row r="48" spans="1:5" x14ac:dyDescent="0.35">
      <c r="A48" t="s">
        <v>51</v>
      </c>
      <c r="C48">
        <v>2.9461666941642699E-2</v>
      </c>
      <c r="D48">
        <v>4.2828316509258002E-5</v>
      </c>
      <c r="E48">
        <v>-1.3175921048959999E-4</v>
      </c>
    </row>
    <row r="49" spans="1:5" x14ac:dyDescent="0.35">
      <c r="A49" t="s">
        <v>52</v>
      </c>
      <c r="C49">
        <v>2.9573839157819699E-2</v>
      </c>
      <c r="D49">
        <v>2.0721830878756009E-5</v>
      </c>
      <c r="E49">
        <v>-2.7106700144940991E-5</v>
      </c>
    </row>
    <row r="50" spans="1:5" x14ac:dyDescent="0.35">
      <c r="A50" t="s">
        <v>53</v>
      </c>
      <c r="E50">
        <v>-1.0168313747269999E-4</v>
      </c>
    </row>
    <row r="51" spans="1:5" x14ac:dyDescent="0.35">
      <c r="A51" t="s">
        <v>54</v>
      </c>
      <c r="C51">
        <v>3.3227942883968298E-2</v>
      </c>
      <c r="D51">
        <v>7.5826188549399376E-5</v>
      </c>
      <c r="E51">
        <v>-2.357863559154E-4</v>
      </c>
    </row>
    <row r="52" spans="1:5" x14ac:dyDescent="0.35">
      <c r="A52" t="s">
        <v>55</v>
      </c>
      <c r="C52">
        <v>3.2150190323591198E-2</v>
      </c>
      <c r="D52">
        <v>2.9642175650220002E-4</v>
      </c>
      <c r="E52">
        <v>-5.2686023991554982E-5</v>
      </c>
    </row>
    <row r="53" spans="1:5" x14ac:dyDescent="0.35">
      <c r="A53" t="s">
        <v>56</v>
      </c>
      <c r="E53">
        <v>2.7564581250769999E-4</v>
      </c>
    </row>
    <row r="54" spans="1:5" x14ac:dyDescent="0.35">
      <c r="A54" t="s">
        <v>57</v>
      </c>
      <c r="C54">
        <v>2.82913763076066E-2</v>
      </c>
    </row>
    <row r="55" spans="1:5" x14ac:dyDescent="0.35">
      <c r="A55" t="s">
        <v>58</v>
      </c>
      <c r="C55">
        <v>2.7853839099407099E-2</v>
      </c>
      <c r="D55">
        <v>7.8264849435072392E-5</v>
      </c>
      <c r="E55">
        <v>3.2542389817530001E-4</v>
      </c>
    </row>
    <row r="56" spans="1:5" x14ac:dyDescent="0.35">
      <c r="A56" t="s">
        <v>59</v>
      </c>
      <c r="C56">
        <v>2.7327526360750198E-2</v>
      </c>
    </row>
    <row r="57" spans="1:5" x14ac:dyDescent="0.35">
      <c r="A57" t="s">
        <v>60</v>
      </c>
      <c r="E57">
        <v>3.9963252493179998E-4</v>
      </c>
    </row>
    <row r="58" spans="1:5" x14ac:dyDescent="0.35">
      <c r="A58" t="s">
        <v>61</v>
      </c>
      <c r="D58">
        <v>7.3698814958333969E-5</v>
      </c>
      <c r="E58">
        <v>-1.6100196808110001E-4</v>
      </c>
    </row>
    <row r="59" spans="1:5" x14ac:dyDescent="0.35">
      <c r="A59" t="s">
        <v>62</v>
      </c>
      <c r="C59">
        <v>2.8331035748124098E-2</v>
      </c>
    </row>
    <row r="60" spans="1:5" x14ac:dyDescent="0.35">
      <c r="A60" t="s">
        <v>63</v>
      </c>
      <c r="C60">
        <v>3.1462945044040597E-2</v>
      </c>
      <c r="D60">
        <v>6.9870809966232628E-5</v>
      </c>
      <c r="E60">
        <v>1.064677780959E-4</v>
      </c>
    </row>
    <row r="61" spans="1:5" x14ac:dyDescent="0.35">
      <c r="A61" t="s">
        <v>64</v>
      </c>
      <c r="C61">
        <v>2.2789210081100401E-2</v>
      </c>
      <c r="E61">
        <v>1.761684688972E-4</v>
      </c>
    </row>
    <row r="62" spans="1:5" x14ac:dyDescent="0.35">
      <c r="A62" t="s">
        <v>65</v>
      </c>
      <c r="E62">
        <v>3.498008300084E-4</v>
      </c>
    </row>
    <row r="63" spans="1:5" x14ac:dyDescent="0.35">
      <c r="A63" t="s">
        <v>66</v>
      </c>
      <c r="C63">
        <v>2.9944935813546101E-2</v>
      </c>
      <c r="D63">
        <v>4.8074776714202023E-5</v>
      </c>
      <c r="E63">
        <v>-6.630927964579314E-5</v>
      </c>
    </row>
    <row r="64" spans="1:5" x14ac:dyDescent="0.35">
      <c r="A64" t="s">
        <v>67</v>
      </c>
      <c r="E64">
        <v>1.1714812717400001E-4</v>
      </c>
    </row>
    <row r="65" spans="1:5" x14ac:dyDescent="0.35">
      <c r="A65" t="s">
        <v>68</v>
      </c>
      <c r="C65">
        <v>3.1706504523754099E-2</v>
      </c>
      <c r="E65">
        <v>1.089670113287E-4</v>
      </c>
    </row>
    <row r="66" spans="1:5" x14ac:dyDescent="0.35">
      <c r="A66" t="s">
        <v>69</v>
      </c>
      <c r="C66">
        <v>3.4083530306816101E-2</v>
      </c>
    </row>
    <row r="67" spans="1:5" x14ac:dyDescent="0.35">
      <c r="A67" t="s">
        <v>70</v>
      </c>
      <c r="C67">
        <v>2.7025423943996402E-2</v>
      </c>
    </row>
    <row r="68" spans="1:5" x14ac:dyDescent="0.35">
      <c r="A68" t="s">
        <v>71</v>
      </c>
      <c r="C68">
        <v>2.56563927978277E-2</v>
      </c>
      <c r="D68">
        <v>8.0742895079310983E-5</v>
      </c>
      <c r="E68">
        <v>2.9863067902619999E-4</v>
      </c>
    </row>
    <row r="69" spans="1:5" x14ac:dyDescent="0.35">
      <c r="A69" t="s">
        <v>72</v>
      </c>
      <c r="D69">
        <v>9.2204412794671966E-5</v>
      </c>
      <c r="E69">
        <v>-4.2239064350719997E-4</v>
      </c>
    </row>
    <row r="70" spans="1:5" x14ac:dyDescent="0.35">
      <c r="A70" t="s">
        <v>73</v>
      </c>
      <c r="C70">
        <v>3.2690223306417403E-2</v>
      </c>
    </row>
    <row r="71" spans="1:5" x14ac:dyDescent="0.35">
      <c r="A71" t="s">
        <v>74</v>
      </c>
      <c r="C71">
        <v>2.95860189944505E-2</v>
      </c>
    </row>
    <row r="72" spans="1:5" x14ac:dyDescent="0.35">
      <c r="A72" t="s">
        <v>75</v>
      </c>
      <c r="C72">
        <v>3.3180888742208398E-2</v>
      </c>
      <c r="E72">
        <v>-1.720845029922E-4</v>
      </c>
    </row>
    <row r="73" spans="1:5" x14ac:dyDescent="0.35">
      <c r="A73" t="s">
        <v>76</v>
      </c>
      <c r="D73">
        <v>4.5491025957744569E-5</v>
      </c>
      <c r="E73">
        <v>3.694123297464E-4</v>
      </c>
    </row>
    <row r="74" spans="1:5" x14ac:dyDescent="0.35">
      <c r="A74" t="s">
        <v>77</v>
      </c>
      <c r="C74">
        <v>3.3088881522416999E-2</v>
      </c>
      <c r="D74">
        <v>4.8925983719527721E-5</v>
      </c>
      <c r="E74">
        <v>1.5419397095679999E-4</v>
      </c>
    </row>
    <row r="75" spans="1:5" x14ac:dyDescent="0.35">
      <c r="A75" t="s">
        <v>78</v>
      </c>
      <c r="C75">
        <v>3.05946189910173E-2</v>
      </c>
    </row>
    <row r="76" spans="1:5" x14ac:dyDescent="0.35">
      <c r="A76" t="s">
        <v>79</v>
      </c>
      <c r="C76">
        <v>2.7581177651882099E-2</v>
      </c>
      <c r="D76">
        <v>6.3498846429865807E-5</v>
      </c>
      <c r="E76">
        <v>3.2197451218960002E-4</v>
      </c>
    </row>
    <row r="77" spans="1:5" x14ac:dyDescent="0.35">
      <c r="A77" t="s">
        <v>80</v>
      </c>
      <c r="C77">
        <v>2.83499155193567E-2</v>
      </c>
      <c r="D77">
        <v>4.2040664993692189E-5</v>
      </c>
      <c r="E77">
        <v>-5.6716813560342423E-5</v>
      </c>
    </row>
    <row r="78" spans="1:5" x14ac:dyDescent="0.35">
      <c r="A78" t="s">
        <v>81</v>
      </c>
      <c r="C78">
        <v>2.3295409977436E-2</v>
      </c>
    </row>
    <row r="79" spans="1:5" x14ac:dyDescent="0.35">
      <c r="A79" t="s">
        <v>82</v>
      </c>
      <c r="D79">
        <v>3.8485522964037962E-5</v>
      </c>
      <c r="E79">
        <v>6.5792228269856423E-5</v>
      </c>
    </row>
    <row r="80" spans="1:5" x14ac:dyDescent="0.35">
      <c r="A80" t="s">
        <v>83</v>
      </c>
      <c r="C80">
        <v>3.03539559245109E-2</v>
      </c>
    </row>
    <row r="81" spans="1:5" x14ac:dyDescent="0.35">
      <c r="A81" t="s">
        <v>84</v>
      </c>
      <c r="D81">
        <v>3.3913082006620243E-5</v>
      </c>
      <c r="E81">
        <v>3.8384972140189999E-4</v>
      </c>
    </row>
    <row r="82" spans="1:5" x14ac:dyDescent="0.35">
      <c r="A82" t="s">
        <v>85</v>
      </c>
      <c r="C82">
        <v>3.0211500823497699E-2</v>
      </c>
      <c r="E82">
        <v>5.020344397053E-4</v>
      </c>
    </row>
    <row r="83" spans="1:5" x14ac:dyDescent="0.35">
      <c r="A83" t="s">
        <v>86</v>
      </c>
      <c r="E83">
        <v>5.9626542497420005E-4</v>
      </c>
    </row>
    <row r="84" spans="1:5" x14ac:dyDescent="0.35">
      <c r="A84" t="s">
        <v>87</v>
      </c>
      <c r="C84">
        <v>2.6647994294762601E-2</v>
      </c>
      <c r="D84">
        <v>1.82445772225E-4</v>
      </c>
      <c r="E84">
        <v>6.8904651561749999E-4</v>
      </c>
    </row>
    <row r="85" spans="1:5" x14ac:dyDescent="0.35">
      <c r="A85" t="s">
        <v>88</v>
      </c>
      <c r="C85">
        <v>2.71243844181299E-2</v>
      </c>
    </row>
    <row r="86" spans="1:5" x14ac:dyDescent="0.35">
      <c r="A86" t="s">
        <v>89</v>
      </c>
      <c r="E86">
        <v>1.917484041769E-4</v>
      </c>
    </row>
    <row r="87" spans="1:5" x14ac:dyDescent="0.35">
      <c r="A87" t="s">
        <v>90</v>
      </c>
      <c r="E87">
        <v>-5.4601085139429999E-4</v>
      </c>
    </row>
    <row r="88" spans="1:5" x14ac:dyDescent="0.35">
      <c r="A88" t="s">
        <v>91</v>
      </c>
      <c r="C88">
        <v>3.0165521427988999E-2</v>
      </c>
      <c r="D88">
        <v>7.1195361670106649E-5</v>
      </c>
      <c r="E88">
        <v>4.1244554449800002E-4</v>
      </c>
    </row>
    <row r="89" spans="1:5" x14ac:dyDescent="0.35">
      <c r="A89" t="s">
        <v>92</v>
      </c>
      <c r="C89">
        <v>2.4658987298607798E-2</v>
      </c>
    </row>
    <row r="90" spans="1:5" x14ac:dyDescent="0.35">
      <c r="A90" t="s">
        <v>93</v>
      </c>
      <c r="C90">
        <v>2.86986827850341E-2</v>
      </c>
      <c r="D90">
        <v>5.6531542213633663E-5</v>
      </c>
      <c r="E90">
        <v>5.3135314374230802E-5</v>
      </c>
    </row>
    <row r="91" spans="1:5" x14ac:dyDescent="0.35">
      <c r="A91" t="s">
        <v>94</v>
      </c>
      <c r="C91">
        <v>2.4566881358623501E-2</v>
      </c>
    </row>
    <row r="92" spans="1:5" x14ac:dyDescent="0.35">
      <c r="A92" t="s">
        <v>95</v>
      </c>
      <c r="C92">
        <v>2.65142004936933E-2</v>
      </c>
    </row>
    <row r="93" spans="1:5" x14ac:dyDescent="0.35">
      <c r="A93" t="s">
        <v>96</v>
      </c>
      <c r="C93">
        <v>2.84068156033754E-2</v>
      </c>
      <c r="D93">
        <v>2.016932739934418E-5</v>
      </c>
      <c r="E93">
        <v>3.5663865855890001E-4</v>
      </c>
    </row>
    <row r="94" spans="1:5" x14ac:dyDescent="0.35">
      <c r="A94" t="s">
        <v>97</v>
      </c>
      <c r="C94">
        <v>2.9979247599840102E-2</v>
      </c>
      <c r="D94">
        <v>3.5052678867941722E-5</v>
      </c>
      <c r="E94">
        <v>-1.1341793288009999E-4</v>
      </c>
    </row>
    <row r="95" spans="1:5" x14ac:dyDescent="0.35">
      <c r="A95" t="s">
        <v>98</v>
      </c>
      <c r="C95">
        <v>2.9071729630231798E-2</v>
      </c>
    </row>
    <row r="96" spans="1:5" x14ac:dyDescent="0.35">
      <c r="A96" t="s">
        <v>99</v>
      </c>
      <c r="C96">
        <v>3.32155339419841E-2</v>
      </c>
      <c r="D96">
        <v>5.8151676057605073E-5</v>
      </c>
      <c r="E96">
        <v>1.017593895085E-4</v>
      </c>
    </row>
    <row r="97" spans="1:5" x14ac:dyDescent="0.35">
      <c r="A97" t="s">
        <v>100</v>
      </c>
      <c r="C97">
        <v>2.95811910182237E-2</v>
      </c>
      <c r="D97">
        <v>3.5968663723906502E-5</v>
      </c>
      <c r="E97">
        <v>2.559984859544E-4</v>
      </c>
    </row>
    <row r="98" spans="1:5" x14ac:dyDescent="0.35">
      <c r="A98" t="s">
        <v>101</v>
      </c>
      <c r="C98">
        <v>3.0511906370520502E-2</v>
      </c>
    </row>
    <row r="99" spans="1:5" x14ac:dyDescent="0.35">
      <c r="A99" t="s">
        <v>102</v>
      </c>
      <c r="C99">
        <v>3.11947837471961E-2</v>
      </c>
      <c r="E99">
        <v>1.7734815628500659E-5</v>
      </c>
    </row>
    <row r="100" spans="1:5" x14ac:dyDescent="0.35">
      <c r="A100" t="s">
        <v>103</v>
      </c>
      <c r="C100">
        <v>2.6988964527845299E-2</v>
      </c>
    </row>
    <row r="101" spans="1:5" x14ac:dyDescent="0.35">
      <c r="A101" t="s">
        <v>104</v>
      </c>
      <c r="C101">
        <v>3.2149121165275497E-2</v>
      </c>
      <c r="D101">
        <v>6.7564695200417191E-5</v>
      </c>
      <c r="E101">
        <v>2.5417108554390001E-4</v>
      </c>
    </row>
    <row r="102" spans="1:5" x14ac:dyDescent="0.35">
      <c r="A102" t="s">
        <v>105</v>
      </c>
      <c r="E102">
        <v>-3.0572444666169998E-4</v>
      </c>
    </row>
    <row r="103" spans="1:5" x14ac:dyDescent="0.35">
      <c r="A103" t="s">
        <v>106</v>
      </c>
      <c r="E103">
        <v>2.1080885198889999E-4</v>
      </c>
    </row>
    <row r="104" spans="1:5" x14ac:dyDescent="0.35">
      <c r="A104" t="s">
        <v>107</v>
      </c>
      <c r="D104">
        <v>7.0032903749961406E-5</v>
      </c>
      <c r="E104">
        <v>-2.8518849285309999E-4</v>
      </c>
    </row>
    <row r="105" spans="1:5" x14ac:dyDescent="0.35">
      <c r="A105" t="s">
        <v>108</v>
      </c>
      <c r="C105">
        <v>2.7098428457975301E-2</v>
      </c>
      <c r="D105">
        <v>6.6227679781150073E-5</v>
      </c>
      <c r="E105">
        <v>5.3200486581769996E-4</v>
      </c>
    </row>
    <row r="106" spans="1:5" x14ac:dyDescent="0.35">
      <c r="A106" t="s">
        <v>109</v>
      </c>
      <c r="C106">
        <v>2.5630544871091801E-2</v>
      </c>
    </row>
    <row r="107" spans="1:5" x14ac:dyDescent="0.35">
      <c r="A107" t="s">
        <v>110</v>
      </c>
      <c r="D107">
        <v>4.2995849071303383E-5</v>
      </c>
      <c r="E107">
        <v>-7.9969839134719223E-5</v>
      </c>
    </row>
    <row r="108" spans="1:5" x14ac:dyDescent="0.35">
      <c r="A108" t="s">
        <v>111</v>
      </c>
      <c r="C108">
        <v>2.5964383035898202E-2</v>
      </c>
      <c r="E108">
        <v>-5.097843240946E-4</v>
      </c>
    </row>
    <row r="109" spans="1:5" x14ac:dyDescent="0.35">
      <c r="A109" t="s">
        <v>112</v>
      </c>
      <c r="C109">
        <v>2.49710995703935E-2</v>
      </c>
    </row>
    <row r="110" spans="1:5" x14ac:dyDescent="0.35">
      <c r="A110" t="s">
        <v>113</v>
      </c>
      <c r="C110">
        <v>2.7489924803376101E-2</v>
      </c>
      <c r="E110">
        <v>1.0296977052348669E-5</v>
      </c>
    </row>
    <row r="111" spans="1:5" x14ac:dyDescent="0.35">
      <c r="A111" t="s">
        <v>114</v>
      </c>
      <c r="C111">
        <v>3.2770842313766403E-2</v>
      </c>
    </row>
    <row r="112" spans="1:5" x14ac:dyDescent="0.35">
      <c r="A112" t="s">
        <v>115</v>
      </c>
      <c r="C112">
        <v>3.3254444599151597E-2</v>
      </c>
    </row>
    <row r="113" spans="1:5" x14ac:dyDescent="0.35">
      <c r="A113" t="s">
        <v>116</v>
      </c>
      <c r="E113">
        <v>-7.0585330831818283E-5</v>
      </c>
    </row>
    <row r="114" spans="1:5" x14ac:dyDescent="0.35">
      <c r="A114" t="s">
        <v>117</v>
      </c>
      <c r="C114">
        <v>2.8197368606925E-2</v>
      </c>
      <c r="D114">
        <v>3.0951850931160152E-5</v>
      </c>
      <c r="E114">
        <v>1.7874188779380001E-4</v>
      </c>
    </row>
    <row r="115" spans="1:5" x14ac:dyDescent="0.35">
      <c r="A115" t="s">
        <v>118</v>
      </c>
      <c r="C115">
        <v>2.74016056209802E-2</v>
      </c>
      <c r="D115">
        <v>5.8182737120660022E-5</v>
      </c>
      <c r="E115">
        <v>-3.5932931496063247E-5</v>
      </c>
    </row>
    <row r="116" spans="1:5" x14ac:dyDescent="0.35">
      <c r="A116" t="s">
        <v>119</v>
      </c>
      <c r="C116">
        <v>3.0455337837338399E-2</v>
      </c>
      <c r="D116">
        <v>6.3471292378380895E-5</v>
      </c>
      <c r="E116">
        <v>-1.5318821533580001E-4</v>
      </c>
    </row>
    <row r="117" spans="1:5" x14ac:dyDescent="0.35">
      <c r="A117" t="s">
        <v>120</v>
      </c>
      <c r="C117">
        <v>3.2420959323644603E-2</v>
      </c>
      <c r="D117">
        <v>5.4520609410246827E-5</v>
      </c>
      <c r="E117">
        <v>2.484531723894E-4</v>
      </c>
    </row>
    <row r="118" spans="1:5" x14ac:dyDescent="0.35">
      <c r="A118" t="s">
        <v>121</v>
      </c>
      <c r="C118">
        <v>2.8874764218926399E-2</v>
      </c>
      <c r="D118">
        <v>1.055628235917E-4</v>
      </c>
      <c r="E118">
        <v>-2.531922946218E-4</v>
      </c>
    </row>
    <row r="119" spans="1:5" x14ac:dyDescent="0.35">
      <c r="A119" t="s">
        <v>122</v>
      </c>
      <c r="D119">
        <v>3.818876575678587E-5</v>
      </c>
      <c r="E119">
        <v>7.9914592788554728E-5</v>
      </c>
    </row>
    <row r="120" spans="1:5" x14ac:dyDescent="0.35">
      <c r="A120" t="s">
        <v>123</v>
      </c>
      <c r="C120">
        <v>2.8109500184655099E-2</v>
      </c>
      <c r="D120">
        <v>1.074012689059E-4</v>
      </c>
      <c r="E120">
        <v>3.1471264082929998E-4</v>
      </c>
    </row>
    <row r="121" spans="1:5" x14ac:dyDescent="0.35">
      <c r="A121" t="s">
        <v>124</v>
      </c>
      <c r="C121">
        <v>2.1083798259496599E-2</v>
      </c>
    </row>
    <row r="122" spans="1:5" x14ac:dyDescent="0.35">
      <c r="A122" t="s">
        <v>125</v>
      </c>
      <c r="C122">
        <v>2.7717834338545799E-2</v>
      </c>
      <c r="D122">
        <v>1.5777935914229602E-5</v>
      </c>
      <c r="E122">
        <v>2.5229726452380001E-4</v>
      </c>
    </row>
    <row r="123" spans="1:5" x14ac:dyDescent="0.35">
      <c r="A123" t="s">
        <v>126</v>
      </c>
      <c r="E123">
        <v>-9.1478163085412234E-5</v>
      </c>
    </row>
    <row r="124" spans="1:5" x14ac:dyDescent="0.35">
      <c r="A124" t="s">
        <v>127</v>
      </c>
      <c r="C124">
        <v>2.96491533517837E-2</v>
      </c>
    </row>
    <row r="125" spans="1:5" x14ac:dyDescent="0.35">
      <c r="A125" t="s">
        <v>128</v>
      </c>
      <c r="C125">
        <v>2.9239913448691299E-2</v>
      </c>
      <c r="D125">
        <v>7.8888158896006644E-5</v>
      </c>
      <c r="E125">
        <v>1.942218514159E-4</v>
      </c>
    </row>
    <row r="126" spans="1:5" x14ac:dyDescent="0.35">
      <c r="A126" t="s">
        <v>129</v>
      </c>
      <c r="C126">
        <v>2.66098957508802E-2</v>
      </c>
      <c r="D126">
        <v>1.3370363740249999E-4</v>
      </c>
      <c r="E126">
        <v>2.9894761973990001E-4</v>
      </c>
    </row>
    <row r="127" spans="1:5" x14ac:dyDescent="0.35">
      <c r="A127" t="s">
        <v>130</v>
      </c>
      <c r="D127">
        <v>4.9313806812278933E-5</v>
      </c>
      <c r="E127">
        <v>-1.2478618009479999E-4</v>
      </c>
    </row>
    <row r="128" spans="1:5" x14ac:dyDescent="0.35">
      <c r="A128" t="s">
        <v>131</v>
      </c>
      <c r="C128">
        <v>3.0363259837031299E-2</v>
      </c>
      <c r="D128">
        <v>4.3483756599016488E-5</v>
      </c>
      <c r="E128">
        <v>1.8091170932160001E-4</v>
      </c>
    </row>
    <row r="129" spans="1:5" x14ac:dyDescent="0.35">
      <c r="A129" t="s">
        <v>132</v>
      </c>
      <c r="C129">
        <v>2.6098484173417001E-2</v>
      </c>
      <c r="D129">
        <v>2.9944485504529439E-5</v>
      </c>
      <c r="E129">
        <v>6.6299682657700032E-5</v>
      </c>
    </row>
    <row r="130" spans="1:5" x14ac:dyDescent="0.35">
      <c r="A130" t="s">
        <v>133</v>
      </c>
      <c r="C130">
        <v>2.7424648404121399E-2</v>
      </c>
      <c r="D130">
        <v>6.9450201408471912E-5</v>
      </c>
      <c r="E130">
        <v>5.0743474275805063E-5</v>
      </c>
    </row>
    <row r="131" spans="1:5" x14ac:dyDescent="0.35">
      <c r="A131" t="s">
        <v>134</v>
      </c>
      <c r="E131">
        <v>-2.1849376207679999E-4</v>
      </c>
    </row>
    <row r="132" spans="1:5" x14ac:dyDescent="0.35">
      <c r="A132" t="s">
        <v>135</v>
      </c>
      <c r="D132">
        <v>4.9337737436871982E-5</v>
      </c>
      <c r="E132">
        <v>9.6450741693843156E-5</v>
      </c>
    </row>
    <row r="133" spans="1:5" x14ac:dyDescent="0.35">
      <c r="A133" t="s">
        <v>136</v>
      </c>
      <c r="C133">
        <v>2.8724450618028599E-2</v>
      </c>
      <c r="E133">
        <v>2.7591123944140002E-4</v>
      </c>
    </row>
    <row r="134" spans="1:5" x14ac:dyDescent="0.35">
      <c r="A134" t="s">
        <v>137</v>
      </c>
      <c r="E134">
        <v>-1.2809586769430001E-4</v>
      </c>
    </row>
    <row r="135" spans="1:5" x14ac:dyDescent="0.35">
      <c r="A135" t="s">
        <v>138</v>
      </c>
      <c r="E135">
        <v>1.9135243201159999E-4</v>
      </c>
    </row>
    <row r="136" spans="1:5" x14ac:dyDescent="0.35">
      <c r="A136" t="s">
        <v>139</v>
      </c>
      <c r="E136">
        <v>7.8574135841336101E-5</v>
      </c>
    </row>
    <row r="137" spans="1:5" x14ac:dyDescent="0.35">
      <c r="A137" t="s">
        <v>140</v>
      </c>
      <c r="C137">
        <v>2.2294208407402E-2</v>
      </c>
      <c r="D137">
        <v>2.5576335247023959E-5</v>
      </c>
      <c r="E137">
        <v>1.449314440833E-4</v>
      </c>
    </row>
    <row r="138" spans="1:5" x14ac:dyDescent="0.35">
      <c r="A138" t="s">
        <v>141</v>
      </c>
      <c r="C138">
        <v>2.3960843682289099E-2</v>
      </c>
      <c r="D138">
        <v>4.4972606701776392E-5</v>
      </c>
      <c r="E138">
        <v>-1.094401231966E-4</v>
      </c>
    </row>
    <row r="139" spans="1:5" x14ac:dyDescent="0.35">
      <c r="A139" t="s">
        <v>142</v>
      </c>
      <c r="C139">
        <v>2.7206428349018E-2</v>
      </c>
      <c r="D139">
        <v>7.2748014645185322E-5</v>
      </c>
      <c r="E139">
        <v>8.4336257714312524E-5</v>
      </c>
    </row>
    <row r="140" spans="1:5" x14ac:dyDescent="0.35">
      <c r="A140" t="s">
        <v>143</v>
      </c>
      <c r="D140">
        <v>5.0883270887425169E-5</v>
      </c>
      <c r="E140">
        <v>-1.4454405754800001E-4</v>
      </c>
    </row>
    <row r="141" spans="1:5" x14ac:dyDescent="0.35">
      <c r="A141" t="s">
        <v>144</v>
      </c>
      <c r="C141">
        <v>2.60137487202882E-2</v>
      </c>
      <c r="D141">
        <v>3.8653295632684603E-5</v>
      </c>
      <c r="E141">
        <v>1.8668431948754009E-5</v>
      </c>
    </row>
    <row r="142" spans="1:5" x14ac:dyDescent="0.35">
      <c r="A142" t="s">
        <v>145</v>
      </c>
      <c r="C142">
        <v>3.0845481902360899E-2</v>
      </c>
      <c r="E142">
        <v>5.0457939505569997E-4</v>
      </c>
    </row>
    <row r="143" spans="1:5" x14ac:dyDescent="0.35">
      <c r="A143" t="s">
        <v>146</v>
      </c>
      <c r="C143">
        <v>2.91711073368787E-2</v>
      </c>
    </row>
    <row r="144" spans="1:5" x14ac:dyDescent="0.35">
      <c r="A144" t="s">
        <v>147</v>
      </c>
      <c r="C144">
        <v>2.8422180563211399E-2</v>
      </c>
      <c r="D144">
        <v>1.077658380381E-4</v>
      </c>
      <c r="E144">
        <v>2.8853315598098561E-5</v>
      </c>
    </row>
    <row r="145" spans="1:5" x14ac:dyDescent="0.35">
      <c r="A145" t="s">
        <v>148</v>
      </c>
      <c r="C145">
        <v>2.69206259399652E-2</v>
      </c>
    </row>
    <row r="146" spans="1:5" x14ac:dyDescent="0.35">
      <c r="A146" t="s">
        <v>149</v>
      </c>
      <c r="D146">
        <v>7.6467484177555889E-5</v>
      </c>
      <c r="E146">
        <v>7.7260512625789996E-4</v>
      </c>
    </row>
    <row r="147" spans="1:5" x14ac:dyDescent="0.35">
      <c r="A147" t="s">
        <v>150</v>
      </c>
      <c r="C147">
        <v>2.9091024771332699E-2</v>
      </c>
      <c r="D147">
        <v>9.6365081844851361E-5</v>
      </c>
      <c r="E147">
        <v>-9.03658292372711E-5</v>
      </c>
    </row>
    <row r="148" spans="1:5" x14ac:dyDescent="0.35">
      <c r="A148" t="s">
        <v>151</v>
      </c>
      <c r="C148">
        <v>1.1331455782055799E-2</v>
      </c>
      <c r="D148">
        <v>1.5015809913159999E-4</v>
      </c>
      <c r="E148">
        <v>1.9772745145010001E-4</v>
      </c>
    </row>
    <row r="149" spans="1:5" x14ac:dyDescent="0.35">
      <c r="A149" t="s">
        <v>152</v>
      </c>
      <c r="C149">
        <v>2.5884108617901799E-2</v>
      </c>
      <c r="D149">
        <v>6.0802260122727603E-5</v>
      </c>
      <c r="E149">
        <v>8.4051862359046936E-5</v>
      </c>
    </row>
    <row r="150" spans="1:5" x14ac:dyDescent="0.35">
      <c r="A150" t="s">
        <v>153</v>
      </c>
      <c r="C150">
        <v>2.2941933944821299E-2</v>
      </c>
      <c r="D150">
        <v>4.332737807999365E-5</v>
      </c>
      <c r="E150">
        <v>-7.5416734034661204E-5</v>
      </c>
    </row>
    <row r="151" spans="1:5" x14ac:dyDescent="0.35">
      <c r="A151" t="s">
        <v>154</v>
      </c>
      <c r="D151">
        <v>5.4185158660402521E-5</v>
      </c>
      <c r="E151">
        <v>-7.2969334723893553E-5</v>
      </c>
    </row>
    <row r="152" spans="1:5" x14ac:dyDescent="0.35">
      <c r="A152" t="s">
        <v>155</v>
      </c>
      <c r="C152">
        <v>2.4784030392765999E-2</v>
      </c>
      <c r="D152">
        <v>9.0025736426468939E-5</v>
      </c>
    </row>
    <row r="153" spans="1:5" x14ac:dyDescent="0.35">
      <c r="A153" t="s">
        <v>156</v>
      </c>
      <c r="B153">
        <v>1888.59521484375</v>
      </c>
      <c r="C153">
        <v>2.6353333145379999E-2</v>
      </c>
      <c r="D153">
        <v>4.4717446144204587E-5</v>
      </c>
      <c r="E153">
        <v>8.341995271621272E-5</v>
      </c>
    </row>
    <row r="154" spans="1:5" x14ac:dyDescent="0.35">
      <c r="A154" t="s">
        <v>157</v>
      </c>
      <c r="C154">
        <v>3.4243222326040199E-2</v>
      </c>
      <c r="D154">
        <v>4.7147896111709997E-5</v>
      </c>
      <c r="E154">
        <v>3.2233881938736893E-5</v>
      </c>
    </row>
    <row r="155" spans="1:5" x14ac:dyDescent="0.35">
      <c r="A155" t="s">
        <v>158</v>
      </c>
      <c r="B155">
        <v>1887.76708984375</v>
      </c>
      <c r="C155">
        <v>2.61873379349708E-2</v>
      </c>
      <c r="D155">
        <v>2.759475682978518E-5</v>
      </c>
      <c r="E155">
        <v>-7.4666379077825695E-5</v>
      </c>
    </row>
    <row r="156" spans="1:5" x14ac:dyDescent="0.35">
      <c r="A156" t="s">
        <v>159</v>
      </c>
      <c r="C156">
        <v>2.96415463089942E-2</v>
      </c>
      <c r="D156">
        <v>5.9402198530733592E-5</v>
      </c>
      <c r="E156">
        <v>8.4338193119037896E-5</v>
      </c>
    </row>
    <row r="157" spans="1:5" x14ac:dyDescent="0.35">
      <c r="A157" t="s">
        <v>160</v>
      </c>
      <c r="C157">
        <v>2.60551869869232E-2</v>
      </c>
      <c r="D157">
        <v>1.0261763236480001E-4</v>
      </c>
      <c r="E157">
        <v>-1.287995110033E-4</v>
      </c>
    </row>
    <row r="158" spans="1:5" x14ac:dyDescent="0.35">
      <c r="A158" t="s">
        <v>161</v>
      </c>
      <c r="B158">
        <v>1860.441650390625</v>
      </c>
      <c r="C158">
        <v>2.8876520693302099E-2</v>
      </c>
      <c r="D158">
        <v>7.0111957029439509E-5</v>
      </c>
      <c r="E158">
        <v>4.355096607469E-4</v>
      </c>
    </row>
    <row r="159" spans="1:5" x14ac:dyDescent="0.35">
      <c r="A159" t="s">
        <v>162</v>
      </c>
      <c r="D159">
        <v>7.9376062785740942E-5</v>
      </c>
      <c r="E159">
        <v>5.7332077994939998E-4</v>
      </c>
    </row>
    <row r="160" spans="1:5" x14ac:dyDescent="0.35">
      <c r="A160" t="s">
        <v>163</v>
      </c>
      <c r="C160">
        <v>2.20129787921905E-2</v>
      </c>
      <c r="D160">
        <v>4.4489988795248792E-5</v>
      </c>
      <c r="E160">
        <v>5.0281238509340004E-4</v>
      </c>
    </row>
    <row r="161" spans="1:5" x14ac:dyDescent="0.35">
      <c r="A161" t="s">
        <v>164</v>
      </c>
      <c r="C161">
        <v>2.6843162253499E-2</v>
      </c>
      <c r="E161">
        <v>1.2961588799949999E-4</v>
      </c>
    </row>
    <row r="162" spans="1:5" x14ac:dyDescent="0.35">
      <c r="A162" t="s">
        <v>165</v>
      </c>
      <c r="D162">
        <v>1.7243824549950001E-4</v>
      </c>
      <c r="E162">
        <v>8.4535058704204857E-6</v>
      </c>
    </row>
    <row r="163" spans="1:5" x14ac:dyDescent="0.35">
      <c r="A163" t="s">
        <v>166</v>
      </c>
      <c r="C163">
        <v>2.78821382671594E-2</v>
      </c>
    </row>
    <row r="164" spans="1:5" x14ac:dyDescent="0.35">
      <c r="A164" t="s">
        <v>167</v>
      </c>
      <c r="D164">
        <v>1.1370652646290001E-4</v>
      </c>
      <c r="E164">
        <v>3.9315174217329998E-4</v>
      </c>
    </row>
    <row r="165" spans="1:5" x14ac:dyDescent="0.35">
      <c r="A165" t="s">
        <v>168</v>
      </c>
      <c r="C165">
        <v>2.8466939926147398E-2</v>
      </c>
      <c r="E165">
        <v>2.2736419850843959E-5</v>
      </c>
    </row>
    <row r="166" spans="1:5" x14ac:dyDescent="0.35">
      <c r="A166" t="s">
        <v>169</v>
      </c>
      <c r="C166">
        <v>3.0955351889133401E-2</v>
      </c>
      <c r="D166">
        <v>5.5156739108497277E-5</v>
      </c>
      <c r="E166">
        <v>7.5424046372063458E-5</v>
      </c>
    </row>
    <row r="167" spans="1:5" x14ac:dyDescent="0.35">
      <c r="A167" t="s">
        <v>170</v>
      </c>
      <c r="C167">
        <v>2.5471029803156801E-2</v>
      </c>
    </row>
    <row r="168" spans="1:5" x14ac:dyDescent="0.35">
      <c r="A168" t="s">
        <v>171</v>
      </c>
      <c r="E168">
        <v>2.053221251117E-4</v>
      </c>
    </row>
    <row r="169" spans="1:5" x14ac:dyDescent="0.35">
      <c r="A169" t="s">
        <v>172</v>
      </c>
      <c r="C169">
        <v>3.4032374620437601E-2</v>
      </c>
      <c r="D169">
        <v>2.4388449674E-4</v>
      </c>
      <c r="E169">
        <v>5.4222531616680001E-4</v>
      </c>
    </row>
    <row r="170" spans="1:5" x14ac:dyDescent="0.35">
      <c r="A170" t="s">
        <v>173</v>
      </c>
      <c r="C170">
        <v>3.5107314586639397E-2</v>
      </c>
    </row>
    <row r="171" spans="1:5" x14ac:dyDescent="0.35">
      <c r="A171" t="s">
        <v>174</v>
      </c>
      <c r="C171">
        <v>3.0864300206303499E-2</v>
      </c>
    </row>
    <row r="172" spans="1:5" x14ac:dyDescent="0.35">
      <c r="A172" t="s">
        <v>175</v>
      </c>
      <c r="C172">
        <v>3.1630631536245297E-2</v>
      </c>
      <c r="D172">
        <v>2.4400181428059999E-4</v>
      </c>
      <c r="E172">
        <v>6.2465929659080005E-4</v>
      </c>
    </row>
    <row r="173" spans="1:5" x14ac:dyDescent="0.35">
      <c r="A173" t="s">
        <v>176</v>
      </c>
      <c r="C173">
        <v>3.0455660074949199E-2</v>
      </c>
      <c r="E173">
        <v>-5.9775156842079007E-5</v>
      </c>
    </row>
    <row r="174" spans="1:5" x14ac:dyDescent="0.35">
      <c r="A174" t="s">
        <v>177</v>
      </c>
      <c r="C174">
        <v>2.4647487327456401E-2</v>
      </c>
    </row>
    <row r="175" spans="1:5" x14ac:dyDescent="0.35">
      <c r="A175" t="s">
        <v>178</v>
      </c>
      <c r="C175">
        <v>3.3227179199457099E-2</v>
      </c>
      <c r="E175">
        <v>3.822788130491E-4</v>
      </c>
    </row>
    <row r="176" spans="1:5" x14ac:dyDescent="0.35">
      <c r="A176" t="s">
        <v>179</v>
      </c>
      <c r="C176">
        <v>2.76815500110387E-2</v>
      </c>
    </row>
    <row r="177" spans="1:5" x14ac:dyDescent="0.35">
      <c r="A177" t="s">
        <v>180</v>
      </c>
      <c r="B177">
        <v>1890.282104492188</v>
      </c>
      <c r="C177">
        <v>2.8827687725424701E-2</v>
      </c>
      <c r="D177">
        <v>4.5877048250986263E-5</v>
      </c>
      <c r="E177">
        <v>7.5662152084987611E-5</v>
      </c>
    </row>
    <row r="178" spans="1:5" x14ac:dyDescent="0.35">
      <c r="A178" t="s">
        <v>181</v>
      </c>
      <c r="C178">
        <v>2.7356840670108701E-2</v>
      </c>
      <c r="D178">
        <v>6.2848594097886235E-5</v>
      </c>
      <c r="E178">
        <v>1.5218340558930001E-4</v>
      </c>
    </row>
    <row r="179" spans="1:5" x14ac:dyDescent="0.35">
      <c r="A179" t="s">
        <v>182</v>
      </c>
      <c r="C179">
        <v>3.3171050250530201E-2</v>
      </c>
      <c r="D179">
        <v>1.239730918314E-4</v>
      </c>
      <c r="E179">
        <v>3.5368968383400003E-4</v>
      </c>
    </row>
    <row r="180" spans="1:5" x14ac:dyDescent="0.35">
      <c r="A180" t="s">
        <v>183</v>
      </c>
      <c r="D180">
        <v>6.190221756696701E-5</v>
      </c>
      <c r="E180">
        <v>3.1089762342160002E-4</v>
      </c>
    </row>
    <row r="181" spans="1:5" x14ac:dyDescent="0.35">
      <c r="A181" t="s">
        <v>184</v>
      </c>
      <c r="C181">
        <v>3.2866619527339901E-2</v>
      </c>
      <c r="D181">
        <v>4.2807638237718493E-5</v>
      </c>
      <c r="E181">
        <v>1.203608990181E-4</v>
      </c>
    </row>
    <row r="182" spans="1:5" x14ac:dyDescent="0.35">
      <c r="A182" t="s">
        <v>185</v>
      </c>
      <c r="C182">
        <v>2.7548290789127301E-2</v>
      </c>
      <c r="D182">
        <v>8.1765705544967204E-5</v>
      </c>
      <c r="E182">
        <v>2.2438800442614599E-5</v>
      </c>
    </row>
    <row r="183" spans="1:5" x14ac:dyDescent="0.35">
      <c r="A183" t="s">
        <v>186</v>
      </c>
      <c r="C183">
        <v>2.1757563576102201E-2</v>
      </c>
      <c r="D183">
        <v>5.5014850659063093E-5</v>
      </c>
      <c r="E183">
        <v>-3.7905767385382212E-5</v>
      </c>
    </row>
    <row r="184" spans="1:5" x14ac:dyDescent="0.35">
      <c r="A184" t="s">
        <v>187</v>
      </c>
      <c r="B184">
        <v>1865.634155273437</v>
      </c>
      <c r="C184">
        <v>2.6651514694094599E-2</v>
      </c>
      <c r="D184">
        <v>7.3933639214374125E-5</v>
      </c>
      <c r="E184">
        <v>1.3194077473590001E-4</v>
      </c>
    </row>
    <row r="185" spans="1:5" x14ac:dyDescent="0.35">
      <c r="A185" t="s">
        <v>188</v>
      </c>
      <c r="B185">
        <v>1903.675903320312</v>
      </c>
      <c r="C185">
        <v>2.4124246090650499E-2</v>
      </c>
      <c r="D185">
        <v>6.9697576691396534E-5</v>
      </c>
      <c r="E185">
        <v>-5.3220006520859897E-5</v>
      </c>
    </row>
    <row r="186" spans="1:5" x14ac:dyDescent="0.35">
      <c r="A186" t="s">
        <v>189</v>
      </c>
      <c r="B186">
        <v>1887.126831054688</v>
      </c>
      <c r="C186">
        <v>3.3778522163629497E-2</v>
      </c>
      <c r="D186">
        <v>1.048271078616E-4</v>
      </c>
      <c r="E186">
        <v>2.6555961812839998E-4</v>
      </c>
    </row>
    <row r="187" spans="1:5" x14ac:dyDescent="0.35">
      <c r="A187" t="s">
        <v>190</v>
      </c>
      <c r="C187">
        <v>3.2988011837005601E-2</v>
      </c>
      <c r="D187">
        <v>1.067249395418E-4</v>
      </c>
      <c r="E187">
        <v>8.5776596097269999E-4</v>
      </c>
    </row>
    <row r="188" spans="1:5" x14ac:dyDescent="0.35">
      <c r="A188" t="s">
        <v>191</v>
      </c>
      <c r="B188">
        <v>1909.274780273437</v>
      </c>
      <c r="C188">
        <v>3.2194729894399601E-2</v>
      </c>
      <c r="D188">
        <v>8.1318103184457868E-5</v>
      </c>
      <c r="E188">
        <v>-1.2360035907470001E-4</v>
      </c>
    </row>
    <row r="189" spans="1:5" x14ac:dyDescent="0.35">
      <c r="A189" t="s">
        <v>192</v>
      </c>
      <c r="D189">
        <v>4.1334864363307133E-5</v>
      </c>
      <c r="E189">
        <v>1.5730824088670001E-4</v>
      </c>
    </row>
    <row r="190" spans="1:5" x14ac:dyDescent="0.35">
      <c r="A190" t="s">
        <v>193</v>
      </c>
      <c r="C190">
        <v>2.9067786410450901E-2</v>
      </c>
      <c r="D190">
        <v>6.2085942772682756E-5</v>
      </c>
      <c r="E190">
        <v>7.3895649984469995E-4</v>
      </c>
    </row>
    <row r="191" spans="1:5" x14ac:dyDescent="0.35">
      <c r="A191" t="s">
        <v>194</v>
      </c>
      <c r="C191">
        <v>2.6578823104500701E-2</v>
      </c>
      <c r="D191">
        <v>5.3257743275025859E-5</v>
      </c>
      <c r="E191">
        <v>-6.1663461383430003E-4</v>
      </c>
    </row>
    <row r="192" spans="1:5" x14ac:dyDescent="0.35">
      <c r="A192" t="s">
        <v>195</v>
      </c>
      <c r="C192">
        <v>2.7911582961678501E-2</v>
      </c>
      <c r="D192">
        <v>6.9647736381739378E-5</v>
      </c>
      <c r="E192">
        <v>-1.409053656971E-4</v>
      </c>
    </row>
    <row r="193" spans="1:5" x14ac:dyDescent="0.35">
      <c r="A193" t="s">
        <v>196</v>
      </c>
      <c r="B193">
        <v>1923.13134765625</v>
      </c>
      <c r="C193">
        <v>2.7495145797729399E-2</v>
      </c>
      <c r="D193">
        <v>8.4362662164494395E-5</v>
      </c>
      <c r="E193">
        <v>5.2633149607572711E-5</v>
      </c>
    </row>
    <row r="194" spans="1:5" x14ac:dyDescent="0.35">
      <c r="A194" t="s">
        <v>197</v>
      </c>
      <c r="B194">
        <v>1887.672973632812</v>
      </c>
      <c r="C194">
        <v>3.0803412199020299E-2</v>
      </c>
      <c r="D194">
        <v>6.1795260990038514E-5</v>
      </c>
      <c r="E194">
        <v>7.3689105920490003E-4</v>
      </c>
    </row>
    <row r="195" spans="1:5" x14ac:dyDescent="0.35">
      <c r="A195" t="s">
        <v>198</v>
      </c>
      <c r="C195">
        <v>3.3583529293537098E-2</v>
      </c>
      <c r="D195">
        <v>2.6198122213827449E-5</v>
      </c>
      <c r="E195">
        <v>-1.61871445016E-4</v>
      </c>
    </row>
    <row r="196" spans="1:5" x14ac:dyDescent="0.35">
      <c r="A196" t="s">
        <v>199</v>
      </c>
      <c r="C196">
        <v>2.9080655425786899E-2</v>
      </c>
      <c r="D196">
        <v>4.9413738452130929E-5</v>
      </c>
      <c r="E196">
        <v>-1.2780721590380001E-4</v>
      </c>
    </row>
    <row r="197" spans="1:5" x14ac:dyDescent="0.35">
      <c r="A197" t="s">
        <v>200</v>
      </c>
      <c r="C197">
        <v>2.55302749574184E-2</v>
      </c>
      <c r="D197">
        <v>4.1421251808060333E-5</v>
      </c>
      <c r="E197">
        <v>-1.4272236148819999E-4</v>
      </c>
    </row>
    <row r="198" spans="1:5" x14ac:dyDescent="0.35">
      <c r="A198" t="s">
        <v>201</v>
      </c>
      <c r="B198">
        <v>1884.319580078125</v>
      </c>
      <c r="C198">
        <v>3.11086233705282E-2</v>
      </c>
      <c r="E198">
        <v>1.714540412649E-4</v>
      </c>
    </row>
    <row r="199" spans="1:5" x14ac:dyDescent="0.35">
      <c r="A199" t="s">
        <v>202</v>
      </c>
      <c r="C199">
        <v>2.30365693569183E-2</v>
      </c>
      <c r="D199">
        <v>3.9151273085735738E-5</v>
      </c>
      <c r="E199">
        <v>1.646992168389E-4</v>
      </c>
    </row>
    <row r="200" spans="1:5" x14ac:dyDescent="0.35">
      <c r="A200" t="s">
        <v>203</v>
      </c>
      <c r="C200">
        <v>2.6376491412520402E-2</v>
      </c>
      <c r="D200">
        <v>7.0041678554844111E-5</v>
      </c>
      <c r="E200">
        <v>1.3033805589649999E-4</v>
      </c>
    </row>
    <row r="201" spans="1:5" x14ac:dyDescent="0.35">
      <c r="A201" t="s">
        <v>204</v>
      </c>
      <c r="C201">
        <v>2.5280892848968499E-2</v>
      </c>
      <c r="D201">
        <v>4.3797750549856573E-5</v>
      </c>
      <c r="E201">
        <v>-1.3245141599319999E-4</v>
      </c>
    </row>
    <row r="202" spans="1:5" x14ac:dyDescent="0.35">
      <c r="A202" t="s">
        <v>205</v>
      </c>
      <c r="D202">
        <v>6.0820122598670423E-5</v>
      </c>
      <c r="E202">
        <v>-2.978654811158E-4</v>
      </c>
    </row>
    <row r="203" spans="1:5" x14ac:dyDescent="0.35">
      <c r="A203" t="s">
        <v>206</v>
      </c>
      <c r="B203">
        <v>1914.169921875</v>
      </c>
      <c r="C203">
        <v>2.8444470837712201E-2</v>
      </c>
      <c r="D203">
        <v>5.174425314180553E-5</v>
      </c>
      <c r="E203">
        <v>8.2299491623410005E-4</v>
      </c>
    </row>
    <row r="204" spans="1:5" x14ac:dyDescent="0.35">
      <c r="A204" t="s">
        <v>207</v>
      </c>
      <c r="B204">
        <v>1911.460083007812</v>
      </c>
      <c r="C204">
        <v>1.9385209307074502E-2</v>
      </c>
      <c r="D204">
        <v>8.357338811038062E-5</v>
      </c>
      <c r="E204">
        <v>-8.8423541455995291E-5</v>
      </c>
    </row>
    <row r="205" spans="1:5" x14ac:dyDescent="0.35">
      <c r="A205" t="s">
        <v>208</v>
      </c>
      <c r="B205">
        <v>1911.16748046875</v>
      </c>
      <c r="D205">
        <v>5.2566960221156478E-5</v>
      </c>
      <c r="E205">
        <v>-3.9518094854420002E-4</v>
      </c>
    </row>
    <row r="206" spans="1:5" x14ac:dyDescent="0.35">
      <c r="A206" t="s">
        <v>209</v>
      </c>
      <c r="C206">
        <v>3.1868312507867799E-2</v>
      </c>
      <c r="D206">
        <v>1.089685247279E-4</v>
      </c>
      <c r="E206">
        <v>-1.0286720935255001E-3</v>
      </c>
    </row>
    <row r="207" spans="1:5" x14ac:dyDescent="0.35">
      <c r="A207" t="s">
        <v>210</v>
      </c>
      <c r="C207">
        <v>2.7163043618202199E-2</v>
      </c>
      <c r="D207">
        <v>5.0296552217332653E-5</v>
      </c>
      <c r="E207">
        <v>6.2295078532770005E-4</v>
      </c>
    </row>
    <row r="208" spans="1:5" x14ac:dyDescent="0.35">
      <c r="A208" t="s">
        <v>211</v>
      </c>
      <c r="B208">
        <v>1904.148803710937</v>
      </c>
      <c r="C208">
        <v>2.5620257481932598E-2</v>
      </c>
      <c r="D208">
        <v>7.0932605012785643E-5</v>
      </c>
      <c r="E208">
        <v>1.5894454554650001E-4</v>
      </c>
    </row>
    <row r="209" spans="1:5" x14ac:dyDescent="0.35">
      <c r="A209" t="s">
        <v>212</v>
      </c>
      <c r="B209">
        <v>1910.8740234375</v>
      </c>
      <c r="C209">
        <v>2.4597344920039101E-2</v>
      </c>
      <c r="D209">
        <v>7.2467184509150684E-5</v>
      </c>
      <c r="E209">
        <v>5.7398743228979996E-4</v>
      </c>
    </row>
    <row r="210" spans="1:5" x14ac:dyDescent="0.35">
      <c r="A210" t="s">
        <v>213</v>
      </c>
      <c r="B210">
        <v>1885.61474609375</v>
      </c>
      <c r="D210">
        <v>2.8880916943307969E-5</v>
      </c>
      <c r="E210">
        <v>-2.301605272805E-4</v>
      </c>
    </row>
    <row r="211" spans="1:5" x14ac:dyDescent="0.35">
      <c r="A211" t="s">
        <v>214</v>
      </c>
      <c r="C211">
        <v>3.2318759709596599E-2</v>
      </c>
      <c r="D211">
        <v>2.7596137442742471E-5</v>
      </c>
    </row>
    <row r="212" spans="1:5" x14ac:dyDescent="0.35">
      <c r="A212" t="s">
        <v>215</v>
      </c>
      <c r="C212">
        <v>3.2010961323976503E-2</v>
      </c>
      <c r="D212">
        <v>6.1106700741220266E-5</v>
      </c>
      <c r="E212">
        <v>2.585277252364E-4</v>
      </c>
    </row>
    <row r="213" spans="1:5" x14ac:dyDescent="0.35">
      <c r="A213" t="s">
        <v>216</v>
      </c>
      <c r="C213">
        <v>2.57071256637573E-2</v>
      </c>
      <c r="D213">
        <v>5.6310851505259052E-5</v>
      </c>
      <c r="E213">
        <v>7.655071676708E-4</v>
      </c>
    </row>
    <row r="214" spans="1:5" x14ac:dyDescent="0.35">
      <c r="A214" t="s">
        <v>217</v>
      </c>
      <c r="B214">
        <v>1895.632080078125</v>
      </c>
      <c r="C214">
        <v>2.87140551954507E-2</v>
      </c>
      <c r="D214">
        <v>8.3552491560112685E-5</v>
      </c>
      <c r="E214">
        <v>1.260910503333E-4</v>
      </c>
    </row>
    <row r="215" spans="1:5" x14ac:dyDescent="0.35">
      <c r="A215" t="s">
        <v>218</v>
      </c>
      <c r="B215">
        <v>1897.868041992188</v>
      </c>
      <c r="C215">
        <v>2.6942186057567499E-2</v>
      </c>
      <c r="D215">
        <v>7.2559683758299798E-5</v>
      </c>
      <c r="E215">
        <v>-3.5915817716149998E-4</v>
      </c>
    </row>
    <row r="216" spans="1:5" x14ac:dyDescent="0.35">
      <c r="A216" t="s">
        <v>219</v>
      </c>
      <c r="E216">
        <v>4.627836751751E-4</v>
      </c>
    </row>
    <row r="217" spans="1:5" x14ac:dyDescent="0.35">
      <c r="A217" t="s">
        <v>220</v>
      </c>
      <c r="C217">
        <v>3.0544824898242898E-2</v>
      </c>
      <c r="D217">
        <v>5.8578498283168301E-5</v>
      </c>
      <c r="E217">
        <v>5.5576756130900002E-4</v>
      </c>
    </row>
    <row r="218" spans="1:5" x14ac:dyDescent="0.35">
      <c r="A218" t="s">
        <v>221</v>
      </c>
      <c r="C218">
        <v>3.3590383827686303E-2</v>
      </c>
      <c r="D218">
        <v>4.911161886411719E-5</v>
      </c>
      <c r="E218">
        <v>1.158544328063E-4</v>
      </c>
    </row>
    <row r="219" spans="1:5" x14ac:dyDescent="0.35">
      <c r="A219" t="s">
        <v>222</v>
      </c>
      <c r="C219">
        <v>3.0857015401124899E-2</v>
      </c>
      <c r="D219">
        <v>6.2196260842029005E-5</v>
      </c>
      <c r="E219">
        <v>7.3149887612089515E-5</v>
      </c>
    </row>
    <row r="220" spans="1:5" x14ac:dyDescent="0.35">
      <c r="A220" t="s">
        <v>223</v>
      </c>
      <c r="C220">
        <v>2.46313586831092E-2</v>
      </c>
      <c r="D220">
        <v>6.4388623286504298E-5</v>
      </c>
      <c r="E220">
        <v>5.4636731510979998E-4</v>
      </c>
    </row>
    <row r="221" spans="1:5" x14ac:dyDescent="0.35">
      <c r="A221" t="s">
        <v>224</v>
      </c>
      <c r="C221">
        <v>2.5048790499567899E-2</v>
      </c>
      <c r="D221">
        <v>7.6995536801405251E-5</v>
      </c>
      <c r="E221">
        <v>-2.1775600907849999E-4</v>
      </c>
    </row>
    <row r="222" spans="1:5" x14ac:dyDescent="0.35">
      <c r="A222" t="s">
        <v>225</v>
      </c>
      <c r="C222">
        <v>2.71784532815217E-2</v>
      </c>
      <c r="D222">
        <v>5.0339785957476131E-5</v>
      </c>
      <c r="E222">
        <v>7.3623261414460005E-4</v>
      </c>
    </row>
    <row r="223" spans="1:5" x14ac:dyDescent="0.35">
      <c r="A223" t="s">
        <v>226</v>
      </c>
      <c r="C223">
        <v>3.07617988437414E-2</v>
      </c>
      <c r="D223">
        <v>9.8872784292325377E-5</v>
      </c>
      <c r="E223">
        <v>-8.1285921623930335E-5</v>
      </c>
    </row>
    <row r="224" spans="1:5" x14ac:dyDescent="0.35">
      <c r="A224" t="s">
        <v>227</v>
      </c>
      <c r="C224">
        <v>2.9230343177914599E-2</v>
      </c>
      <c r="D224">
        <v>1.288225466851E-4</v>
      </c>
      <c r="E224">
        <v>4.4630432967090002E-4</v>
      </c>
    </row>
    <row r="225" spans="1:5" x14ac:dyDescent="0.35">
      <c r="A225" t="s">
        <v>228</v>
      </c>
      <c r="C225">
        <v>2.9554059728979998E-2</v>
      </c>
      <c r="D225">
        <v>6.4779218519106507E-5</v>
      </c>
      <c r="E225">
        <v>-1.178376478492E-4</v>
      </c>
    </row>
    <row r="226" spans="1:5" x14ac:dyDescent="0.35">
      <c r="A226" t="s">
        <v>229</v>
      </c>
      <c r="C226">
        <v>3.0485263094305898E-2</v>
      </c>
      <c r="D226">
        <v>1.105854898924E-4</v>
      </c>
      <c r="E226">
        <v>-5.5605476518394432E-5</v>
      </c>
    </row>
    <row r="227" spans="1:5" x14ac:dyDescent="0.35">
      <c r="A227" t="s">
        <v>230</v>
      </c>
      <c r="C227">
        <v>3.6986701190471601E-2</v>
      </c>
      <c r="D227">
        <v>9.1462767159100622E-5</v>
      </c>
      <c r="E227">
        <v>2.9118418751750141E-5</v>
      </c>
    </row>
    <row r="228" spans="1:5" x14ac:dyDescent="0.35">
      <c r="A228" t="s">
        <v>231</v>
      </c>
      <c r="C228">
        <v>3.7696588784456198E-2</v>
      </c>
      <c r="D228">
        <v>1.3081067299930001E-4</v>
      </c>
      <c r="E228">
        <v>6.7836750531569123E-5</v>
      </c>
    </row>
    <row r="229" spans="1:5" x14ac:dyDescent="0.35">
      <c r="A229" t="s">
        <v>232</v>
      </c>
      <c r="C229">
        <v>3.0808482319116499E-2</v>
      </c>
      <c r="D229">
        <v>7.7153454185463488E-5</v>
      </c>
      <c r="E229">
        <v>8.5356662748379999E-4</v>
      </c>
    </row>
    <row r="230" spans="1:5" x14ac:dyDescent="0.35">
      <c r="A230" t="s">
        <v>233</v>
      </c>
      <c r="B230">
        <v>1899.917236328125</v>
      </c>
      <c r="C230">
        <v>2.69742645323276E-2</v>
      </c>
      <c r="D230">
        <v>7.4239193054381758E-5</v>
      </c>
      <c r="E230">
        <v>2.763269294518E-4</v>
      </c>
    </row>
    <row r="231" spans="1:5" x14ac:dyDescent="0.35">
      <c r="A231" t="s">
        <v>234</v>
      </c>
      <c r="B231">
        <v>1887.519287109375</v>
      </c>
      <c r="C231">
        <v>2.80641950666904E-2</v>
      </c>
      <c r="D231">
        <v>4.3645628466038033E-5</v>
      </c>
      <c r="E231">
        <v>2.4929604478529651E-5</v>
      </c>
    </row>
    <row r="232" spans="1:5" x14ac:dyDescent="0.35">
      <c r="A232" t="s">
        <v>235</v>
      </c>
      <c r="E232">
        <v>-2.2297033865470439E-5</v>
      </c>
    </row>
    <row r="233" spans="1:5" x14ac:dyDescent="0.35">
      <c r="A233" t="s">
        <v>236</v>
      </c>
      <c r="C233">
        <v>3.19150052964687E-2</v>
      </c>
      <c r="D233">
        <v>2.2071355488151308E-5</v>
      </c>
      <c r="E233">
        <v>3.6699313204729999E-4</v>
      </c>
    </row>
    <row r="234" spans="1:5" x14ac:dyDescent="0.35">
      <c r="A234" t="s">
        <v>237</v>
      </c>
      <c r="C234">
        <v>3.6681327968835803E-2</v>
      </c>
      <c r="D234">
        <v>5.8590969274519011E-5</v>
      </c>
      <c r="E234">
        <v>2.3732322733840001E-4</v>
      </c>
    </row>
    <row r="235" spans="1:5" x14ac:dyDescent="0.35">
      <c r="A235" t="s">
        <v>238</v>
      </c>
      <c r="C235">
        <v>3.6226224154233898E-2</v>
      </c>
      <c r="D235">
        <v>7.2462462412659079E-5</v>
      </c>
      <c r="E235">
        <v>6.7814653448294848E-5</v>
      </c>
    </row>
    <row r="236" spans="1:5" x14ac:dyDescent="0.35">
      <c r="A236" t="s">
        <v>239</v>
      </c>
      <c r="B236">
        <v>1874.829833984375</v>
      </c>
      <c r="C236">
        <v>3.3034965395927401E-2</v>
      </c>
      <c r="D236">
        <v>4.5368851715466008E-5</v>
      </c>
      <c r="E236">
        <v>4.4146867003290002E-4</v>
      </c>
    </row>
    <row r="237" spans="1:5" x14ac:dyDescent="0.35">
      <c r="A237" t="s">
        <v>240</v>
      </c>
      <c r="C237">
        <v>2.7767194435000399E-2</v>
      </c>
      <c r="D237">
        <v>4.707679909188301E-5</v>
      </c>
      <c r="E237">
        <v>-7.6838863606099039E-5</v>
      </c>
    </row>
    <row r="238" spans="1:5" x14ac:dyDescent="0.35">
      <c r="A238" t="s">
        <v>241</v>
      </c>
      <c r="C238">
        <v>3.0729703605175001E-2</v>
      </c>
      <c r="D238">
        <v>2.3438198695657771E-5</v>
      </c>
      <c r="E238">
        <v>-5.6739256251603358E-5</v>
      </c>
    </row>
    <row r="239" spans="1:5" x14ac:dyDescent="0.35">
      <c r="A239" t="s">
        <v>242</v>
      </c>
      <c r="C239">
        <v>2.2557068616151799E-2</v>
      </c>
      <c r="D239">
        <v>3.9660884795011953E-5</v>
      </c>
      <c r="E239">
        <v>3.7062398041589999E-4</v>
      </c>
    </row>
    <row r="240" spans="1:5" x14ac:dyDescent="0.35">
      <c r="A240" t="s">
        <v>243</v>
      </c>
      <c r="C240">
        <v>3.1304094940423903E-2</v>
      </c>
      <c r="D240">
        <v>5.7094228395726532E-5</v>
      </c>
      <c r="E240">
        <v>2.3893809702710001E-4</v>
      </c>
    </row>
    <row r="241" spans="1:5" x14ac:dyDescent="0.35">
      <c r="A241" t="s">
        <v>244</v>
      </c>
      <c r="B241">
        <v>1892.212646484375</v>
      </c>
      <c r="C241">
        <v>2.6592157781124101E-2</v>
      </c>
      <c r="D241">
        <v>4.4161759433336563E-5</v>
      </c>
      <c r="E241">
        <v>2.2118123888500001E-4</v>
      </c>
    </row>
    <row r="242" spans="1:5" x14ac:dyDescent="0.35">
      <c r="A242" t="s">
        <v>245</v>
      </c>
      <c r="D242">
        <v>4.4595795770874247E-5</v>
      </c>
      <c r="E242">
        <v>2.8288472094570001E-4</v>
      </c>
    </row>
    <row r="243" spans="1:5" x14ac:dyDescent="0.35">
      <c r="A243" t="s">
        <v>246</v>
      </c>
      <c r="C243">
        <v>2.90848389267921E-2</v>
      </c>
      <c r="D243">
        <v>3.7012341636000201E-5</v>
      </c>
      <c r="E243">
        <v>3.9086930337360002E-4</v>
      </c>
    </row>
    <row r="244" spans="1:5" x14ac:dyDescent="0.35">
      <c r="A244" t="s">
        <v>247</v>
      </c>
      <c r="C244">
        <v>3.0551239848136898E-2</v>
      </c>
      <c r="D244">
        <v>3.7357065593823791E-5</v>
      </c>
      <c r="E244">
        <v>1.6302533913400001E-4</v>
      </c>
    </row>
    <row r="245" spans="1:5" x14ac:dyDescent="0.35">
      <c r="A245" t="s">
        <v>248</v>
      </c>
      <c r="C245">
        <v>2.5487089529633501E-2</v>
      </c>
      <c r="D245">
        <v>6.3445237174164504E-5</v>
      </c>
      <c r="E245">
        <v>-2.3937564401419999E-4</v>
      </c>
    </row>
    <row r="246" spans="1:5" x14ac:dyDescent="0.35">
      <c r="A246" t="s">
        <v>249</v>
      </c>
      <c r="C246">
        <v>4.2215511202812098E-2</v>
      </c>
      <c r="D246">
        <v>2.5074620498339998E-4</v>
      </c>
      <c r="E246">
        <v>-1.6139842045959089E-5</v>
      </c>
    </row>
    <row r="247" spans="1:5" x14ac:dyDescent="0.35">
      <c r="A247" t="s">
        <v>250</v>
      </c>
      <c r="C247">
        <v>2.9853377491235698E-2</v>
      </c>
      <c r="D247">
        <v>1.034011147567E-4</v>
      </c>
      <c r="E247">
        <v>5.2571832202370002E-4</v>
      </c>
    </row>
    <row r="248" spans="1:5" x14ac:dyDescent="0.35">
      <c r="A248" t="s">
        <v>251</v>
      </c>
      <c r="C248">
        <v>2.61958520859479E-2</v>
      </c>
      <c r="D248">
        <v>3.136722807539627E-5</v>
      </c>
      <c r="E248">
        <v>2.4133690749290001E-4</v>
      </c>
    </row>
    <row r="249" spans="1:5" x14ac:dyDescent="0.35">
      <c r="A249" t="s">
        <v>252</v>
      </c>
      <c r="C249">
        <v>2.9685575515031801E-2</v>
      </c>
      <c r="D249">
        <v>1.102747919503E-4</v>
      </c>
      <c r="E249">
        <v>-4.2434383067299999E-4</v>
      </c>
    </row>
    <row r="250" spans="1:5" x14ac:dyDescent="0.35">
      <c r="A250" t="s">
        <v>253</v>
      </c>
      <c r="C250">
        <v>3.7517581135034499E-2</v>
      </c>
      <c r="D250">
        <v>7.3257782787550241E-5</v>
      </c>
      <c r="E250">
        <v>-2.9913012986069998E-4</v>
      </c>
    </row>
    <row r="251" spans="1:5" x14ac:dyDescent="0.35">
      <c r="A251" t="s">
        <v>254</v>
      </c>
      <c r="B251">
        <v>1862.400634765625</v>
      </c>
      <c r="C251">
        <v>3.7172019481658901E-2</v>
      </c>
      <c r="D251">
        <v>1.2549698294599999E-4</v>
      </c>
      <c r="E251">
        <v>6.0709920944646001E-5</v>
      </c>
    </row>
    <row r="252" spans="1:5" x14ac:dyDescent="0.35">
      <c r="A252" t="s">
        <v>255</v>
      </c>
      <c r="B252">
        <v>1906.46923828125</v>
      </c>
      <c r="C252">
        <v>2.2956971079111099E-2</v>
      </c>
      <c r="D252">
        <v>5.6606833823025233E-5</v>
      </c>
      <c r="E252">
        <v>3.2937803189269998E-4</v>
      </c>
    </row>
    <row r="253" spans="1:5" x14ac:dyDescent="0.35">
      <c r="A253" t="s">
        <v>256</v>
      </c>
      <c r="B253">
        <v>1906.232299804688</v>
      </c>
      <c r="C253">
        <v>2.9847307130694299E-2</v>
      </c>
      <c r="D253">
        <v>4.0127280954038718E-5</v>
      </c>
      <c r="E253">
        <v>-3.3890805207189998E-4</v>
      </c>
    </row>
    <row r="254" spans="1:5" x14ac:dyDescent="0.35">
      <c r="A254" t="s">
        <v>257</v>
      </c>
      <c r="C254">
        <v>2.9496474191546398E-2</v>
      </c>
      <c r="D254">
        <v>3.4361612051725388E-5</v>
      </c>
      <c r="E254">
        <v>-6.1159094912E-5</v>
      </c>
    </row>
    <row r="255" spans="1:5" x14ac:dyDescent="0.35">
      <c r="A255" t="s">
        <v>258</v>
      </c>
      <c r="C255">
        <v>2.40643490105867E-2</v>
      </c>
      <c r="D255">
        <v>3.35477598127909E-5</v>
      </c>
      <c r="E255">
        <v>8.2407158333799998E-4</v>
      </c>
    </row>
    <row r="256" spans="1:5" x14ac:dyDescent="0.35">
      <c r="A256" t="s">
        <v>259</v>
      </c>
      <c r="B256">
        <v>1903.087524414062</v>
      </c>
      <c r="C256">
        <v>2.6532262563705399E-2</v>
      </c>
      <c r="D256">
        <v>8.511960186297074E-5</v>
      </c>
      <c r="E256">
        <v>1.2816998059860001E-4</v>
      </c>
    </row>
    <row r="257" spans="1:5" x14ac:dyDescent="0.35">
      <c r="A257" t="s">
        <v>260</v>
      </c>
      <c r="B257">
        <v>1899.608032226562</v>
      </c>
      <c r="C257">
        <v>2.5850899517536101E-2</v>
      </c>
      <c r="D257">
        <v>5.3409425163408741E-5</v>
      </c>
      <c r="E257">
        <v>7.8915618360042572E-5</v>
      </c>
    </row>
    <row r="258" spans="1:5" x14ac:dyDescent="0.35">
      <c r="A258" t="s">
        <v>261</v>
      </c>
      <c r="D258">
        <v>5.5011278163874522E-5</v>
      </c>
      <c r="E258">
        <v>5.9162412071600003E-4</v>
      </c>
    </row>
    <row r="259" spans="1:5" x14ac:dyDescent="0.35">
      <c r="A259" t="s">
        <v>262</v>
      </c>
      <c r="C259">
        <v>3.1792171299457501E-2</v>
      </c>
      <c r="D259">
        <v>4.352751057012938E-5</v>
      </c>
      <c r="E259">
        <v>3.9426321745849999E-4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zoomScale="91" zoomScaleNormal="57" workbookViewId="0">
      <selection activeCell="G12" sqref="G12"/>
    </sheetView>
  </sheetViews>
  <sheetFormatPr defaultRowHeight="14.5" x14ac:dyDescent="0.35"/>
  <cols>
    <col min="1" max="1" width="10.36328125" bestFit="1" customWidth="1"/>
    <col min="2" max="2" width="12.1796875" bestFit="1" customWidth="1"/>
    <col min="4" max="4" width="18.1796875" bestFit="1" customWidth="1"/>
    <col min="5" max="5" width="12.453125" bestFit="1" customWidth="1"/>
    <col min="6" max="6" width="15.36328125" bestFit="1" customWidth="1"/>
    <col min="9" max="9" width="12.90625" bestFit="1" customWidth="1"/>
    <col min="10" max="10" width="14.54296875" bestFit="1" customWidth="1"/>
    <col min="11" max="11" width="20.81640625" bestFit="1" customWidth="1"/>
    <col min="12" max="12" width="14.54296875" bestFit="1" customWidth="1"/>
    <col min="13" max="13" width="22" bestFit="1" customWidth="1"/>
    <col min="14" max="14" width="14.54296875" bestFit="1" customWidth="1"/>
    <col min="15" max="15" width="20.81640625" bestFit="1" customWidth="1"/>
  </cols>
  <sheetData>
    <row r="1" spans="1:15" x14ac:dyDescent="0.35">
      <c r="A1" s="1" t="s">
        <v>0</v>
      </c>
      <c r="B1" s="1" t="s">
        <v>1</v>
      </c>
      <c r="J1" t="s">
        <v>271</v>
      </c>
      <c r="K1" t="s">
        <v>272</v>
      </c>
      <c r="L1" t="s">
        <v>273</v>
      </c>
      <c r="M1" t="s">
        <v>274</v>
      </c>
      <c r="N1" t="s">
        <v>277</v>
      </c>
      <c r="O1" t="s">
        <v>278</v>
      </c>
    </row>
    <row r="2" spans="1:15" x14ac:dyDescent="0.35">
      <c r="A2" t="s">
        <v>6</v>
      </c>
      <c r="B2">
        <v>1867.289428710937</v>
      </c>
      <c r="D2" t="s">
        <v>263</v>
      </c>
      <c r="E2">
        <f>MIN(B2:B32)</f>
        <v>1854.823608398437</v>
      </c>
      <c r="F2" t="s">
        <v>266</v>
      </c>
      <c r="G2">
        <f>COUNT(B2:B32)</f>
        <v>31</v>
      </c>
      <c r="J2">
        <f>(B2-$E$4)^2</f>
        <v>653.17327875525916</v>
      </c>
      <c r="K2">
        <f>SUM(J2:J32)</f>
        <v>9044.6894061411786</v>
      </c>
      <c r="L2">
        <f>((B2 - $E$4) / $E$7)^3</f>
        <v>-3.188849402323148</v>
      </c>
      <c r="M2">
        <f>SUM(L2:L32)</f>
        <v>-17.179672263172254</v>
      </c>
      <c r="N2">
        <f>((B2 - $E$4) / $E$7)^4</f>
        <v>4.6936641702978132</v>
      </c>
      <c r="O2">
        <f>SUM(N2:N32)</f>
        <v>74.128160291950635</v>
      </c>
    </row>
    <row r="3" spans="1:15" x14ac:dyDescent="0.35">
      <c r="A3" t="s">
        <v>24</v>
      </c>
      <c r="B3">
        <v>1854.823608398437</v>
      </c>
      <c r="D3" t="s">
        <v>264</v>
      </c>
      <c r="E3">
        <f>MAX(B2:B32)</f>
        <v>1923.13134765625</v>
      </c>
      <c r="F3" t="s">
        <v>267</v>
      </c>
      <c r="G3">
        <f>SUM(B2:B32)</f>
        <v>58678.247192382805</v>
      </c>
      <c r="J3">
        <f>(B3-$E$4)^2</f>
        <v>1445.7542497040042</v>
      </c>
      <c r="L3">
        <f t="shared" ref="L3:L32" si="0">((B3 - $E$4) / $E$7)^3</f>
        <v>-10.501059317504874</v>
      </c>
      <c r="N3">
        <f t="shared" ref="N3:N32" si="1">((B3 - $E$4) / $E$7)^4</f>
        <v>22.99556840394068</v>
      </c>
    </row>
    <row r="4" spans="1:15" x14ac:dyDescent="0.35">
      <c r="A4" t="s">
        <v>46</v>
      </c>
      <c r="B4">
        <v>1905.000610351562</v>
      </c>
      <c r="D4" t="s">
        <v>265</v>
      </c>
      <c r="E4">
        <f>G3/G2</f>
        <v>1892.8466836252517</v>
      </c>
      <c r="J4">
        <f t="shared" ref="J4:J32" si="2">(B4-$E$4)^2</f>
        <v>147.71793486852161</v>
      </c>
      <c r="L4">
        <f t="shared" si="0"/>
        <v>0.34295823588648805</v>
      </c>
      <c r="N4">
        <f t="shared" si="1"/>
        <v>0.24006102095178267</v>
      </c>
    </row>
    <row r="5" spans="1:15" x14ac:dyDescent="0.35">
      <c r="A5" t="s">
        <v>156</v>
      </c>
      <c r="B5">
        <v>1888.59521484375</v>
      </c>
      <c r="D5" t="s">
        <v>268</v>
      </c>
      <c r="E5">
        <f>MEDIAN(B2:B32)</f>
        <v>1895.632080078125</v>
      </c>
      <c r="J5">
        <f t="shared" si="2"/>
        <v>18.074986800083305</v>
      </c>
      <c r="L5">
        <f t="shared" si="0"/>
        <v>-1.4679402494615535E-2</v>
      </c>
      <c r="N5">
        <f t="shared" si="1"/>
        <v>3.5942739179941432E-3</v>
      </c>
    </row>
    <row r="6" spans="1:15" x14ac:dyDescent="0.35">
      <c r="A6" t="s">
        <v>158</v>
      </c>
      <c r="B6">
        <v>1887.76708984375</v>
      </c>
      <c r="D6" t="s">
        <v>269</v>
      </c>
      <c r="E6">
        <f>K2/(G2-1)</f>
        <v>301.4896468713726</v>
      </c>
      <c r="J6">
        <f t="shared" si="2"/>
        <v>25.802272985070449</v>
      </c>
      <c r="L6">
        <f t="shared" si="0"/>
        <v>-2.5036772548299144E-2</v>
      </c>
      <c r="N6">
        <f t="shared" si="1"/>
        <v>7.3243843367770123E-3</v>
      </c>
    </row>
    <row r="7" spans="1:15" x14ac:dyDescent="0.35">
      <c r="A7" t="s">
        <v>161</v>
      </c>
      <c r="B7">
        <v>1860.441650390625</v>
      </c>
      <c r="D7" t="s">
        <v>270</v>
      </c>
      <c r="E7">
        <f>SQRT(E6)</f>
        <v>17.363457226928414</v>
      </c>
      <c r="J7">
        <f t="shared" si="2"/>
        <v>1050.0861789372591</v>
      </c>
      <c r="L7">
        <f t="shared" si="0"/>
        <v>-6.5002312759178071</v>
      </c>
      <c r="N7">
        <f t="shared" si="1"/>
        <v>12.131236756364471</v>
      </c>
    </row>
    <row r="8" spans="1:15" x14ac:dyDescent="0.35">
      <c r="A8" t="s">
        <v>180</v>
      </c>
      <c r="B8">
        <v>1890.282104492188</v>
      </c>
      <c r="D8" t="s">
        <v>275</v>
      </c>
      <c r="E8">
        <f>(G2 / ((G2 - 1)*(G2 - 2)))*M2</f>
        <v>-0.61214924156131023</v>
      </c>
      <c r="J8">
        <f t="shared" si="2"/>
        <v>6.5770661297458446</v>
      </c>
      <c r="L8">
        <f t="shared" si="0"/>
        <v>-3.2221051433496922E-3</v>
      </c>
      <c r="N8">
        <f t="shared" si="1"/>
        <v>4.7590428030407149E-4</v>
      </c>
    </row>
    <row r="9" spans="1:15" x14ac:dyDescent="0.35">
      <c r="A9" t="s">
        <v>187</v>
      </c>
      <c r="B9">
        <v>1865.634155273437</v>
      </c>
      <c r="D9" t="s">
        <v>276</v>
      </c>
      <c r="E9">
        <f>((G2 * (G2 + 1)) / ((G2 - 1) * (G2 - 2) * (G2 - 3))) * O2 - (3 * (G2 - 1)^2 / ((G2 - 2) * (G2 - 3)))</f>
        <v>-0.30643944952319258</v>
      </c>
      <c r="J9">
        <f t="shared" si="2"/>
        <v>740.52169929831484</v>
      </c>
      <c r="L9">
        <f t="shared" si="0"/>
        <v>-3.8494446456755802</v>
      </c>
      <c r="N9">
        <f t="shared" si="1"/>
        <v>6.0329645294791616</v>
      </c>
    </row>
    <row r="10" spans="1:15" x14ac:dyDescent="0.35">
      <c r="A10" t="s">
        <v>188</v>
      </c>
      <c r="B10">
        <v>1903.675903320312</v>
      </c>
      <c r="J10">
        <f t="shared" si="2"/>
        <v>117.2719992038835</v>
      </c>
      <c r="L10">
        <f t="shared" si="0"/>
        <v>0.24259558265980982</v>
      </c>
      <c r="N10">
        <f t="shared" si="1"/>
        <v>0.15130171528282652</v>
      </c>
    </row>
    <row r="11" spans="1:15" x14ac:dyDescent="0.35">
      <c r="A11" t="s">
        <v>189</v>
      </c>
      <c r="B11">
        <v>1887.126831054688</v>
      </c>
      <c r="J11">
        <f t="shared" si="2"/>
        <v>32.716713428984356</v>
      </c>
      <c r="L11">
        <f t="shared" si="0"/>
        <v>-3.574751855800215E-2</v>
      </c>
      <c r="N11">
        <f t="shared" si="1"/>
        <v>1.1775911515948341E-2</v>
      </c>
    </row>
    <row r="12" spans="1:15" x14ac:dyDescent="0.35">
      <c r="A12" t="s">
        <v>191</v>
      </c>
      <c r="B12">
        <v>1909.274780273437</v>
      </c>
      <c r="J12">
        <f t="shared" si="2"/>
        <v>269.88235948211951</v>
      </c>
      <c r="L12">
        <f t="shared" si="0"/>
        <v>0.84694097184050421</v>
      </c>
      <c r="N12">
        <f t="shared" si="1"/>
        <v>0.80131669395456928</v>
      </c>
    </row>
    <row r="13" spans="1:15" x14ac:dyDescent="0.35">
      <c r="A13" t="s">
        <v>196</v>
      </c>
      <c r="B13">
        <v>1923.13134765625</v>
      </c>
      <c r="J13">
        <f t="shared" si="2"/>
        <v>917.1608754704439</v>
      </c>
      <c r="L13">
        <f t="shared" si="0"/>
        <v>5.3059075140505358</v>
      </c>
      <c r="N13">
        <f t="shared" si="1"/>
        <v>9.2543566838385658</v>
      </c>
    </row>
    <row r="14" spans="1:15" x14ac:dyDescent="0.35">
      <c r="A14" t="s">
        <v>197</v>
      </c>
      <c r="B14">
        <v>1887.672973632812</v>
      </c>
      <c r="J14">
        <f t="shared" si="2"/>
        <v>26.767275085869638</v>
      </c>
      <c r="L14">
        <f t="shared" si="0"/>
        <v>-2.6454383106296584E-2</v>
      </c>
      <c r="N14">
        <f t="shared" si="1"/>
        <v>7.8824916277968927E-3</v>
      </c>
    </row>
    <row r="15" spans="1:15" x14ac:dyDescent="0.35">
      <c r="A15" t="s">
        <v>201</v>
      </c>
      <c r="B15">
        <v>1884.319580078125</v>
      </c>
      <c r="J15">
        <f t="shared" si="2"/>
        <v>72.71149490342026</v>
      </c>
      <c r="L15">
        <f t="shared" si="0"/>
        <v>-0.11843934738179815</v>
      </c>
      <c r="N15">
        <f t="shared" si="1"/>
        <v>5.8164947566571548E-2</v>
      </c>
    </row>
    <row r="16" spans="1:15" x14ac:dyDescent="0.35">
      <c r="A16" t="s">
        <v>206</v>
      </c>
      <c r="B16">
        <v>1914.169921875</v>
      </c>
      <c r="J16">
        <f t="shared" si="2"/>
        <v>454.68048945553016</v>
      </c>
      <c r="L16">
        <f t="shared" si="0"/>
        <v>1.8520421806403058</v>
      </c>
      <c r="N16">
        <f t="shared" si="1"/>
        <v>2.2744051573514144</v>
      </c>
    </row>
    <row r="17" spans="1:14" x14ac:dyDescent="0.35">
      <c r="A17" t="s">
        <v>207</v>
      </c>
      <c r="B17">
        <v>1911.460083007812</v>
      </c>
      <c r="J17">
        <f t="shared" si="2"/>
        <v>346.45863657469891</v>
      </c>
      <c r="L17">
        <f t="shared" si="0"/>
        <v>1.2318802239253397</v>
      </c>
      <c r="N17">
        <f t="shared" si="1"/>
        <v>1.3205595118372899</v>
      </c>
    </row>
    <row r="18" spans="1:14" x14ac:dyDescent="0.35">
      <c r="A18" t="s">
        <v>208</v>
      </c>
      <c r="B18">
        <v>1911.16748046875</v>
      </c>
      <c r="J18">
        <f t="shared" si="2"/>
        <v>335.6515969807383</v>
      </c>
      <c r="L18">
        <f t="shared" si="0"/>
        <v>1.1746932469758027</v>
      </c>
      <c r="N18">
        <f t="shared" si="1"/>
        <v>1.2394603246349114</v>
      </c>
    </row>
    <row r="19" spans="1:14" x14ac:dyDescent="0.35">
      <c r="A19" t="s">
        <v>211</v>
      </c>
      <c r="B19">
        <v>1904.148803710937</v>
      </c>
      <c r="J19">
        <f t="shared" si="2"/>
        <v>127.73791843125277</v>
      </c>
      <c r="L19">
        <f t="shared" si="0"/>
        <v>0.27578532157724284</v>
      </c>
      <c r="N19">
        <f t="shared" si="1"/>
        <v>0.17951256950726191</v>
      </c>
    </row>
    <row r="20" spans="1:14" x14ac:dyDescent="0.35">
      <c r="A20" t="s">
        <v>212</v>
      </c>
      <c r="B20">
        <v>1910.8740234375</v>
      </c>
      <c r="J20">
        <f t="shared" si="2"/>
        <v>324.98498070627363</v>
      </c>
      <c r="L20">
        <f t="shared" si="0"/>
        <v>1.1191449282567683</v>
      </c>
      <c r="N20">
        <f t="shared" si="1"/>
        <v>1.1619348414986144</v>
      </c>
    </row>
    <row r="21" spans="1:14" x14ac:dyDescent="0.35">
      <c r="A21" t="s">
        <v>213</v>
      </c>
      <c r="B21">
        <v>1885.61474609375</v>
      </c>
      <c r="J21">
        <f t="shared" si="2"/>
        <v>52.300920459542489</v>
      </c>
      <c r="L21">
        <f t="shared" si="0"/>
        <v>-7.2252918418006032E-2</v>
      </c>
      <c r="N21">
        <f t="shared" si="1"/>
        <v>3.0093580191929394E-2</v>
      </c>
    </row>
    <row r="22" spans="1:14" x14ac:dyDescent="0.35">
      <c r="A22" t="s">
        <v>217</v>
      </c>
      <c r="B22">
        <v>1895.632080078125</v>
      </c>
      <c r="J22">
        <f t="shared" si="2"/>
        <v>7.7584333996793209</v>
      </c>
      <c r="L22">
        <f t="shared" si="0"/>
        <v>4.1281212990726627E-3</v>
      </c>
      <c r="N22">
        <f t="shared" si="1"/>
        <v>6.622214846496847E-4</v>
      </c>
    </row>
    <row r="23" spans="1:14" x14ac:dyDescent="0.35">
      <c r="A23" t="s">
        <v>218</v>
      </c>
      <c r="B23">
        <v>1897.868041992188</v>
      </c>
      <c r="J23">
        <f t="shared" si="2"/>
        <v>25.214039849201018</v>
      </c>
      <c r="L23">
        <f t="shared" si="0"/>
        <v>2.4185498743721272E-2</v>
      </c>
      <c r="N23">
        <f t="shared" si="1"/>
        <v>6.9942324784817737E-3</v>
      </c>
    </row>
    <row r="24" spans="1:14" x14ac:dyDescent="0.35">
      <c r="A24" t="s">
        <v>233</v>
      </c>
      <c r="B24">
        <v>1899.917236328125</v>
      </c>
      <c r="J24">
        <f t="shared" si="2"/>
        <v>49.992715524109336</v>
      </c>
      <c r="L24">
        <f t="shared" si="0"/>
        <v>6.7522962260249592E-2</v>
      </c>
      <c r="N24">
        <f t="shared" si="1"/>
        <v>2.7495944907492232E-2</v>
      </c>
    </row>
    <row r="25" spans="1:14" x14ac:dyDescent="0.35">
      <c r="A25" t="s">
        <v>234</v>
      </c>
      <c r="B25">
        <v>1887.519287109375</v>
      </c>
      <c r="J25">
        <f t="shared" si="2"/>
        <v>28.381153637374897</v>
      </c>
      <c r="L25">
        <f t="shared" si="0"/>
        <v>-2.8882611752185958E-2</v>
      </c>
      <c r="N25">
        <f t="shared" si="1"/>
        <v>8.8616640803182625E-3</v>
      </c>
    </row>
    <row r="26" spans="1:14" x14ac:dyDescent="0.35">
      <c r="A26" t="s">
        <v>239</v>
      </c>
      <c r="B26">
        <v>1874.829833984375</v>
      </c>
      <c r="J26">
        <f t="shared" si="2"/>
        <v>324.60687098195785</v>
      </c>
      <c r="L26">
        <f t="shared" si="0"/>
        <v>-1.1171923619921411</v>
      </c>
      <c r="N26">
        <f t="shared" si="1"/>
        <v>1.1592326656428749</v>
      </c>
    </row>
    <row r="27" spans="1:14" x14ac:dyDescent="0.35">
      <c r="A27" t="s">
        <v>244</v>
      </c>
      <c r="B27">
        <v>1892.212646484375</v>
      </c>
      <c r="J27">
        <f t="shared" si="2"/>
        <v>0.40200309601106404</v>
      </c>
      <c r="L27">
        <f t="shared" si="0"/>
        <v>-4.8689519879856511E-5</v>
      </c>
      <c r="N27">
        <f t="shared" si="1"/>
        <v>1.7779272625157458E-6</v>
      </c>
    </row>
    <row r="28" spans="1:14" x14ac:dyDescent="0.35">
      <c r="A28" t="s">
        <v>254</v>
      </c>
      <c r="B28">
        <v>1862.400634765625</v>
      </c>
      <c r="J28">
        <f t="shared" si="2"/>
        <v>926.96189116277458</v>
      </c>
      <c r="L28">
        <f t="shared" si="0"/>
        <v>-5.3911847557692978</v>
      </c>
      <c r="N28">
        <f t="shared" si="1"/>
        <v>9.4532023398466265</v>
      </c>
    </row>
    <row r="29" spans="1:14" x14ac:dyDescent="0.35">
      <c r="A29" t="s">
        <v>255</v>
      </c>
      <c r="B29">
        <v>1906.46923828125</v>
      </c>
      <c r="J29">
        <f t="shared" si="2"/>
        <v>185.57399535566174</v>
      </c>
      <c r="L29">
        <f t="shared" si="0"/>
        <v>0.48291097151450341</v>
      </c>
      <c r="N29">
        <f t="shared" si="1"/>
        <v>0.37886931257187795</v>
      </c>
    </row>
    <row r="30" spans="1:14" x14ac:dyDescent="0.35">
      <c r="A30" t="s">
        <v>256</v>
      </c>
      <c r="B30">
        <v>1906.232299804688</v>
      </c>
      <c r="J30">
        <f t="shared" si="2"/>
        <v>179.17472050318639</v>
      </c>
      <c r="L30">
        <f t="shared" si="0"/>
        <v>0.45814874249942356</v>
      </c>
      <c r="N30">
        <f t="shared" si="1"/>
        <v>0.35319021667400541</v>
      </c>
    </row>
    <row r="31" spans="1:14" x14ac:dyDescent="0.35">
      <c r="A31" t="s">
        <v>259</v>
      </c>
      <c r="B31">
        <v>1903.087524414062</v>
      </c>
      <c r="J31">
        <f t="shared" si="2"/>
        <v>104.87482006176228</v>
      </c>
      <c r="L31">
        <f t="shared" si="0"/>
        <v>0.20516262088773063</v>
      </c>
      <c r="N31">
        <f t="shared" si="1"/>
        <v>0.1210034216612047</v>
      </c>
    </row>
    <row r="32" spans="1:14" x14ac:dyDescent="0.35">
      <c r="A32" t="s">
        <v>260</v>
      </c>
      <c r="B32">
        <v>1899.608032226562</v>
      </c>
      <c r="J32">
        <f t="shared" si="2"/>
        <v>45.715834908441749</v>
      </c>
      <c r="L32">
        <f t="shared" si="0"/>
        <v>5.9046121915531685E-2</v>
      </c>
      <c r="N32">
        <f t="shared" si="1"/>
        <v>2.2992622299159823E-2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10"/>
  <sheetViews>
    <sheetView topLeftCell="B1" workbookViewId="0">
      <selection activeCell="F11" sqref="F11"/>
    </sheetView>
  </sheetViews>
  <sheetFormatPr defaultRowHeight="14.5" x14ac:dyDescent="0.35"/>
  <cols>
    <col min="1" max="1" width="10.08984375" bestFit="1" customWidth="1"/>
    <col min="2" max="2" width="11.81640625" bestFit="1" customWidth="1"/>
    <col min="4" max="4" width="18.1796875" bestFit="1" customWidth="1"/>
    <col min="5" max="5" width="11.81640625" bestFit="1" customWidth="1"/>
    <col min="6" max="6" width="15.36328125" bestFit="1" customWidth="1"/>
    <col min="10" max="10" width="14.54296875" bestFit="1" customWidth="1"/>
    <col min="11" max="11" width="20.81640625" bestFit="1" customWidth="1"/>
    <col min="12" max="12" width="14.54296875" bestFit="1" customWidth="1"/>
    <col min="13" max="13" width="20.81640625" bestFit="1" customWidth="1"/>
    <col min="14" max="14" width="14.54296875" bestFit="1" customWidth="1"/>
    <col min="15" max="15" width="20.81640625" bestFit="1" customWidth="1"/>
  </cols>
  <sheetData>
    <row r="1" spans="1:15" x14ac:dyDescent="0.35">
      <c r="A1" s="1" t="s">
        <v>0</v>
      </c>
      <c r="B1" s="1" t="s">
        <v>2</v>
      </c>
      <c r="J1" t="s">
        <v>271</v>
      </c>
      <c r="K1" t="s">
        <v>272</v>
      </c>
      <c r="L1" t="s">
        <v>273</v>
      </c>
      <c r="M1" t="s">
        <v>274</v>
      </c>
      <c r="N1" t="s">
        <v>277</v>
      </c>
      <c r="O1" t="s">
        <v>278</v>
      </c>
    </row>
    <row r="2" spans="1:15" x14ac:dyDescent="0.35">
      <c r="A2" t="s">
        <v>5</v>
      </c>
      <c r="B2">
        <v>3.7918452173471402E-2</v>
      </c>
      <c r="D2" t="s">
        <v>263</v>
      </c>
      <c r="E2">
        <f>MIN(B2:B210)</f>
        <v>1.1331455782055799E-2</v>
      </c>
      <c r="F2" t="s">
        <v>266</v>
      </c>
      <c r="G2">
        <f>COUNT(B2:B210)</f>
        <v>209</v>
      </c>
      <c r="J2">
        <f>(B2-$E$4)^2</f>
        <v>7.7793557899292009E-5</v>
      </c>
      <c r="K2">
        <f>SUM(J2:J210)</f>
        <v>3.7825630735410609E-3</v>
      </c>
      <c r="L2">
        <f>((B2 - $E$4) / $E$7)^3</f>
        <v>8.8477162532068228</v>
      </c>
      <c r="M2">
        <f>SUM(L2:L210)</f>
        <v>66.142380240609981</v>
      </c>
      <c r="N2">
        <f>((B2 - $E$4) / $E$7)^4</f>
        <v>18.299599364887634</v>
      </c>
      <c r="O2">
        <f>SUM(N2:N210)</f>
        <v>1136.3775501555385</v>
      </c>
    </row>
    <row r="3" spans="1:15" x14ac:dyDescent="0.35">
      <c r="A3" t="s">
        <v>6</v>
      </c>
      <c r="B3">
        <v>2.8239663690328501E-2</v>
      </c>
      <c r="D3" t="s">
        <v>264</v>
      </c>
      <c r="E3">
        <f>MAX(B2:B210)</f>
        <v>4.6535134315490702E-2</v>
      </c>
      <c r="F3" t="s">
        <v>267</v>
      </c>
      <c r="G3">
        <f>SUM(B2:B210)</f>
        <v>6.0815627854317409</v>
      </c>
      <c r="J3">
        <f t="shared" ref="J3:J66" si="0">(B3-$E$4)^2</f>
        <v>7.3740492081129989E-7</v>
      </c>
      <c r="L3">
        <f t="shared" ref="L3:L66" si="1">((B3 - $E$4) / $E$7)^3</f>
        <v>-8.1653495606588914E-3</v>
      </c>
      <c r="N3">
        <f t="shared" ref="N3:N66" si="2">((B3 - $E$4) / $E$7)^4</f>
        <v>1.6442444160140114E-3</v>
      </c>
    </row>
    <row r="4" spans="1:15" x14ac:dyDescent="0.35">
      <c r="A4" t="s">
        <v>8</v>
      </c>
      <c r="B4">
        <v>3.4187458455562501E-2</v>
      </c>
      <c r="D4" t="s">
        <v>265</v>
      </c>
      <c r="E4">
        <f>G3/G2</f>
        <v>2.9098386533166223E-2</v>
      </c>
      <c r="J4">
        <f t="shared" si="0"/>
        <v>2.5898653031322148E-5</v>
      </c>
      <c r="L4">
        <f t="shared" si="1"/>
        <v>1.6995404311324629</v>
      </c>
      <c r="N4">
        <f t="shared" si="2"/>
        <v>2.0281901422699171</v>
      </c>
    </row>
    <row r="5" spans="1:15" x14ac:dyDescent="0.35">
      <c r="A5" t="s">
        <v>9</v>
      </c>
      <c r="B5">
        <v>2.7449695393443101E-2</v>
      </c>
      <c r="D5" t="s">
        <v>268</v>
      </c>
      <c r="E5">
        <f>MEDIAN(B2:B210)</f>
        <v>2.8827687725424701E-2</v>
      </c>
      <c r="J5">
        <f t="shared" si="0"/>
        <v>2.7181824742015293E-6</v>
      </c>
      <c r="L5">
        <f t="shared" si="1"/>
        <v>-5.7787465426284441E-2</v>
      </c>
      <c r="N5">
        <f t="shared" si="2"/>
        <v>2.234145888082802E-2</v>
      </c>
    </row>
    <row r="6" spans="1:15" x14ac:dyDescent="0.35">
      <c r="A6" t="s">
        <v>10</v>
      </c>
      <c r="B6">
        <v>2.38408725708723E-2</v>
      </c>
      <c r="D6" t="s">
        <v>269</v>
      </c>
      <c r="E6">
        <f>K2/(G2-1)</f>
        <v>1.8185399392024332E-5</v>
      </c>
      <c r="J6">
        <f t="shared" si="0"/>
        <v>2.7641453063715551E-5</v>
      </c>
      <c r="L6">
        <f t="shared" si="1"/>
        <v>-1.8739458565295615</v>
      </c>
      <c r="N6">
        <f t="shared" si="2"/>
        <v>2.3103408212018843</v>
      </c>
    </row>
    <row r="7" spans="1:15" x14ac:dyDescent="0.35">
      <c r="A7" t="s">
        <v>11</v>
      </c>
      <c r="B7">
        <v>2.6330703869461999E-2</v>
      </c>
      <c r="D7" t="s">
        <v>270</v>
      </c>
      <c r="E7">
        <f>SQRT(E6)</f>
        <v>4.2644342405557542E-3</v>
      </c>
      <c r="J7">
        <f t="shared" si="0"/>
        <v>7.6600673269689083E-6</v>
      </c>
      <c r="L7">
        <f t="shared" si="1"/>
        <v>-0.27337866278885981</v>
      </c>
      <c r="N7">
        <f t="shared" si="2"/>
        <v>0.17742690892772792</v>
      </c>
    </row>
    <row r="8" spans="1:15" x14ac:dyDescent="0.35">
      <c r="A8" t="s">
        <v>12</v>
      </c>
      <c r="B8">
        <v>2.7549641206860501E-2</v>
      </c>
      <c r="D8" t="s">
        <v>275</v>
      </c>
      <c r="E8">
        <f>(G2 / ((G2 - 1)*(G2 - 2)))*M2</f>
        <v>0.32106460122369673</v>
      </c>
      <c r="J8">
        <f t="shared" si="0"/>
        <v>2.3986120857538194E-6</v>
      </c>
      <c r="L8">
        <f t="shared" si="1"/>
        <v>-4.7902233241114943E-2</v>
      </c>
      <c r="N8">
        <f t="shared" si="2"/>
        <v>1.7396999382997859E-2</v>
      </c>
    </row>
    <row r="9" spans="1:15" x14ac:dyDescent="0.35">
      <c r="A9" t="s">
        <v>13</v>
      </c>
      <c r="B9">
        <v>2.3487672209739598E-2</v>
      </c>
      <c r="D9" t="s">
        <v>276</v>
      </c>
      <c r="E9">
        <f>((G2 * (G2 + 1)) / ((G2 - 1) * (G2 - 2) * (G2 - 3))) * O2 - (3 * (G2 - 1)^2 / ((G2 - 2) * (G2 - 3)))</f>
        <v>2.5794894655511387</v>
      </c>
      <c r="J9">
        <f t="shared" si="0"/>
        <v>3.1480115219104694E-5</v>
      </c>
      <c r="L9">
        <f t="shared" si="1"/>
        <v>-2.2775619804963751</v>
      </c>
      <c r="N9">
        <f t="shared" si="2"/>
        <v>2.9965873327190895</v>
      </c>
    </row>
    <row r="10" spans="1:15" x14ac:dyDescent="0.35">
      <c r="A10" t="s">
        <v>14</v>
      </c>
      <c r="B10">
        <v>2.5976773351430799E-2</v>
      </c>
      <c r="J10">
        <f t="shared" si="0"/>
        <v>9.7444688563843574E-6</v>
      </c>
      <c r="L10">
        <f t="shared" si="1"/>
        <v>-0.39224100458603534</v>
      </c>
      <c r="N10">
        <f t="shared" si="2"/>
        <v>0.28712476761591288</v>
      </c>
    </row>
    <row r="11" spans="1:15" x14ac:dyDescent="0.35">
      <c r="A11" t="s">
        <v>15</v>
      </c>
      <c r="B11">
        <v>2.3833392187952902E-2</v>
      </c>
      <c r="J11">
        <f t="shared" si="0"/>
        <v>2.7720165455128255E-5</v>
      </c>
      <c r="L11">
        <f t="shared" si="1"/>
        <v>-1.8819559845222413</v>
      </c>
      <c r="N11">
        <f t="shared" si="2"/>
        <v>2.3235175072505432</v>
      </c>
    </row>
    <row r="12" spans="1:15" x14ac:dyDescent="0.35">
      <c r="A12" t="s">
        <v>16</v>
      </c>
      <c r="B12">
        <v>2.9989233240485101E-2</v>
      </c>
      <c r="J12">
        <f t="shared" si="0"/>
        <v>7.9360785594088623E-7</v>
      </c>
      <c r="L12">
        <f t="shared" si="1"/>
        <v>9.1164272797877623E-3</v>
      </c>
      <c r="N12">
        <f t="shared" si="2"/>
        <v>1.9044353287184287E-3</v>
      </c>
    </row>
    <row r="13" spans="1:15" x14ac:dyDescent="0.35">
      <c r="A13" t="s">
        <v>18</v>
      </c>
      <c r="B13">
        <v>2.92877703905105E-2</v>
      </c>
      <c r="J13">
        <f t="shared" si="0"/>
        <v>3.5866245422597364E-8</v>
      </c>
      <c r="L13">
        <f t="shared" si="1"/>
        <v>8.7587999760126221E-5</v>
      </c>
      <c r="N13">
        <f t="shared" si="2"/>
        <v>3.8897899031690829E-6</v>
      </c>
    </row>
    <row r="14" spans="1:15" x14ac:dyDescent="0.35">
      <c r="A14" t="s">
        <v>20</v>
      </c>
      <c r="B14">
        <v>2.6994796469807601E-2</v>
      </c>
      <c r="J14">
        <f t="shared" si="0"/>
        <v>4.4250911546611347E-6</v>
      </c>
      <c r="L14">
        <f t="shared" si="1"/>
        <v>-0.1200325594663639</v>
      </c>
      <c r="N14">
        <f t="shared" si="2"/>
        <v>5.9210503698619493E-2</v>
      </c>
    </row>
    <row r="15" spans="1:15" x14ac:dyDescent="0.35">
      <c r="A15" t="s">
        <v>21</v>
      </c>
      <c r="B15">
        <v>1.76567398011684E-2</v>
      </c>
      <c r="J15">
        <f t="shared" si="0"/>
        <v>1.3091127993983647E-4</v>
      </c>
      <c r="L15">
        <f t="shared" si="1"/>
        <v>-19.314405196008838</v>
      </c>
      <c r="N15">
        <f t="shared" si="2"/>
        <v>51.821317582938363</v>
      </c>
    </row>
    <row r="16" spans="1:15" x14ac:dyDescent="0.35">
      <c r="A16" t="s">
        <v>24</v>
      </c>
      <c r="B16">
        <v>2.90243215858936E-2</v>
      </c>
      <c r="J16">
        <f t="shared" si="0"/>
        <v>5.4856164144965152E-9</v>
      </c>
      <c r="L16">
        <f t="shared" si="1"/>
        <v>-5.2390662297570414E-6</v>
      </c>
      <c r="N16">
        <f t="shared" si="2"/>
        <v>9.0992413571411736E-8</v>
      </c>
    </row>
    <row r="17" spans="1:14" x14ac:dyDescent="0.35">
      <c r="A17" t="s">
        <v>25</v>
      </c>
      <c r="B17">
        <v>2.3230222985148399E-2</v>
      </c>
      <c r="J17">
        <f t="shared" si="0"/>
        <v>3.4435343426285143E-5</v>
      </c>
      <c r="L17">
        <f t="shared" si="1"/>
        <v>-2.6056876977113395</v>
      </c>
      <c r="N17">
        <f t="shared" si="2"/>
        <v>3.5856108226059678</v>
      </c>
    </row>
    <row r="18" spans="1:14" x14ac:dyDescent="0.35">
      <c r="A18" t="s">
        <v>26</v>
      </c>
      <c r="B18">
        <v>2.8325650840997599E-2</v>
      </c>
      <c r="J18">
        <f t="shared" si="0"/>
        <v>5.9712044995132338E-7</v>
      </c>
      <c r="L18">
        <f t="shared" si="1"/>
        <v>-5.9498861014876661E-3</v>
      </c>
      <c r="N18">
        <f t="shared" si="2"/>
        <v>1.0781475561828259E-3</v>
      </c>
    </row>
    <row r="19" spans="1:14" x14ac:dyDescent="0.35">
      <c r="A19" t="s">
        <v>27</v>
      </c>
      <c r="B19">
        <v>3.00608240067958E-2</v>
      </c>
      <c r="J19">
        <f t="shared" si="0"/>
        <v>9.2628589064648189E-7</v>
      </c>
      <c r="L19">
        <f t="shared" si="1"/>
        <v>1.1495644050868703E-2</v>
      </c>
      <c r="N19">
        <f t="shared" si="2"/>
        <v>2.594444654074692E-3</v>
      </c>
    </row>
    <row r="20" spans="1:14" x14ac:dyDescent="0.35">
      <c r="A20" t="s">
        <v>29</v>
      </c>
      <c r="B20">
        <v>2.6376156136393498E-2</v>
      </c>
      <c r="J20">
        <f t="shared" si="0"/>
        <v>7.4105383331133869E-6</v>
      </c>
      <c r="L20">
        <f t="shared" si="1"/>
        <v>-0.26012995860543059</v>
      </c>
      <c r="N20">
        <f t="shared" si="2"/>
        <v>0.16605571583034839</v>
      </c>
    </row>
    <row r="21" spans="1:14" x14ac:dyDescent="0.35">
      <c r="A21" t="s">
        <v>30</v>
      </c>
      <c r="B21">
        <v>2.85316295921802E-2</v>
      </c>
      <c r="J21">
        <f t="shared" si="0"/>
        <v>3.2121343015583474E-7</v>
      </c>
      <c r="L21">
        <f t="shared" si="1"/>
        <v>-2.3475036562186705E-3</v>
      </c>
      <c r="N21">
        <f t="shared" si="2"/>
        <v>3.1199073924015043E-4</v>
      </c>
    </row>
    <row r="22" spans="1:14" x14ac:dyDescent="0.35">
      <c r="A22" t="s">
        <v>31</v>
      </c>
      <c r="B22">
        <v>3.5185709595680202E-2</v>
      </c>
      <c r="J22">
        <f t="shared" si="0"/>
        <v>3.7055502067414563E-5</v>
      </c>
      <c r="L22">
        <f t="shared" si="1"/>
        <v>2.9086722496649746</v>
      </c>
      <c r="N22">
        <f t="shared" si="2"/>
        <v>4.1520226759019065</v>
      </c>
    </row>
    <row r="23" spans="1:14" x14ac:dyDescent="0.35">
      <c r="A23" t="s">
        <v>32</v>
      </c>
      <c r="B23">
        <v>4.6535134315490702E-2</v>
      </c>
      <c r="J23">
        <f t="shared" si="0"/>
        <v>3.040401732243976E-4</v>
      </c>
      <c r="L23">
        <f t="shared" si="1"/>
        <v>68.361595714580787</v>
      </c>
      <c r="N23">
        <f t="shared" si="2"/>
        <v>279.52216759169283</v>
      </c>
    </row>
    <row r="24" spans="1:14" x14ac:dyDescent="0.35">
      <c r="A24" t="s">
        <v>33</v>
      </c>
      <c r="B24">
        <v>2.5547420606017099E-2</v>
      </c>
      <c r="J24">
        <f t="shared" si="0"/>
        <v>1.2609359015774042E-5</v>
      </c>
      <c r="L24">
        <f t="shared" si="1"/>
        <v>-0.57737137684055162</v>
      </c>
      <c r="N24">
        <f t="shared" si="2"/>
        <v>0.48077329155972254</v>
      </c>
    </row>
    <row r="25" spans="1:14" x14ac:dyDescent="0.35">
      <c r="A25" t="s">
        <v>34</v>
      </c>
      <c r="B25">
        <v>2.7639213949441899E-2</v>
      </c>
      <c r="J25">
        <f t="shared" si="0"/>
        <v>2.1291846290927191E-6</v>
      </c>
      <c r="L25">
        <f t="shared" si="1"/>
        <v>-4.0062285173981547E-2</v>
      </c>
      <c r="N25">
        <f t="shared" si="2"/>
        <v>1.3708216581527337E-2</v>
      </c>
    </row>
    <row r="26" spans="1:14" x14ac:dyDescent="0.35">
      <c r="A26" t="s">
        <v>35</v>
      </c>
      <c r="B26">
        <v>3.6658812314271899E-2</v>
      </c>
      <c r="J26">
        <f t="shared" si="0"/>
        <v>5.7160037991607366E-5</v>
      </c>
      <c r="L26">
        <f t="shared" si="1"/>
        <v>5.5725567223283194</v>
      </c>
      <c r="N26">
        <f t="shared" si="2"/>
        <v>9.879599293498341</v>
      </c>
    </row>
    <row r="27" spans="1:14" x14ac:dyDescent="0.35">
      <c r="A27" t="s">
        <v>36</v>
      </c>
      <c r="B27">
        <v>3.0118923634290602E-2</v>
      </c>
      <c r="J27">
        <f t="shared" si="0"/>
        <v>1.0414959747713492E-6</v>
      </c>
      <c r="L27">
        <f t="shared" si="1"/>
        <v>1.3705728620533686E-2</v>
      </c>
      <c r="N27">
        <f t="shared" si="2"/>
        <v>3.2799672280499309E-3</v>
      </c>
    </row>
    <row r="28" spans="1:14" x14ac:dyDescent="0.35">
      <c r="A28" t="s">
        <v>37</v>
      </c>
      <c r="B28">
        <v>2.8268573805689801E-2</v>
      </c>
      <c r="J28">
        <f t="shared" si="0"/>
        <v>6.8858916268185869E-7</v>
      </c>
      <c r="L28">
        <f t="shared" si="1"/>
        <v>-7.3681084508854895E-3</v>
      </c>
      <c r="N28">
        <f t="shared" si="2"/>
        <v>1.4337541219007163E-3</v>
      </c>
    </row>
    <row r="29" spans="1:14" x14ac:dyDescent="0.35">
      <c r="A29" t="s">
        <v>38</v>
      </c>
      <c r="B29">
        <v>3.0907221138477301E-2</v>
      </c>
      <c r="J29">
        <f t="shared" si="0"/>
        <v>3.2718826293708826E-6</v>
      </c>
      <c r="L29">
        <f t="shared" si="1"/>
        <v>7.6315421760478314E-2</v>
      </c>
      <c r="N29">
        <f t="shared" si="2"/>
        <v>3.2370525141753197E-2</v>
      </c>
    </row>
    <row r="30" spans="1:14" x14ac:dyDescent="0.35">
      <c r="A30" t="s">
        <v>39</v>
      </c>
      <c r="B30">
        <v>3.3205050975084298E-2</v>
      </c>
      <c r="J30">
        <f t="shared" si="0"/>
        <v>1.6864692838514289E-5</v>
      </c>
      <c r="L30">
        <f t="shared" si="1"/>
        <v>0.8930656556139277</v>
      </c>
      <c r="N30">
        <f t="shared" si="2"/>
        <v>0.86002521444204671</v>
      </c>
    </row>
    <row r="31" spans="1:14" x14ac:dyDescent="0.35">
      <c r="A31" t="s">
        <v>40</v>
      </c>
      <c r="B31">
        <v>3.2707087695598602E-2</v>
      </c>
      <c r="J31">
        <f t="shared" si="0"/>
        <v>1.3022724079740804E-5</v>
      </c>
      <c r="L31">
        <f t="shared" si="1"/>
        <v>0.60599423572844313</v>
      </c>
      <c r="N31">
        <f t="shared" si="2"/>
        <v>0.51281177749279971</v>
      </c>
    </row>
    <row r="32" spans="1:14" x14ac:dyDescent="0.35">
      <c r="A32" t="s">
        <v>41</v>
      </c>
      <c r="B32">
        <v>3.2199986279010703E-2</v>
      </c>
      <c r="J32">
        <f t="shared" si="0"/>
        <v>9.619920983422542E-6</v>
      </c>
      <c r="L32">
        <f t="shared" si="1"/>
        <v>0.38474500643270054</v>
      </c>
      <c r="N32">
        <f t="shared" si="2"/>
        <v>0.27983196523885873</v>
      </c>
    </row>
    <row r="33" spans="1:14" x14ac:dyDescent="0.35">
      <c r="A33" t="s">
        <v>42</v>
      </c>
      <c r="B33">
        <v>3.4365653991699198E-2</v>
      </c>
      <c r="J33">
        <f t="shared" si="0"/>
        <v>2.7744106479720421E-5</v>
      </c>
      <c r="L33">
        <f t="shared" si="1"/>
        <v>1.8843945890930724</v>
      </c>
      <c r="N33">
        <f t="shared" si="2"/>
        <v>2.327532736645511</v>
      </c>
    </row>
    <row r="34" spans="1:14" x14ac:dyDescent="0.35">
      <c r="A34" t="s">
        <v>43</v>
      </c>
      <c r="B34">
        <v>4.1779834777116699E-2</v>
      </c>
      <c r="J34">
        <f t="shared" si="0"/>
        <v>1.608191295639946E-4</v>
      </c>
      <c r="L34">
        <f t="shared" si="1"/>
        <v>26.297974225100486</v>
      </c>
      <c r="N34">
        <f t="shared" si="2"/>
        <v>78.204136878164903</v>
      </c>
    </row>
    <row r="35" spans="1:14" x14ac:dyDescent="0.35">
      <c r="A35" t="s">
        <v>44</v>
      </c>
      <c r="B35">
        <v>3.6530666053295101E-2</v>
      </c>
      <c r="J35">
        <f t="shared" si="0"/>
        <v>5.5238778865327135E-5</v>
      </c>
      <c r="L35">
        <f t="shared" si="1"/>
        <v>5.2939744209762978</v>
      </c>
      <c r="N35">
        <f t="shared" si="2"/>
        <v>9.2266161112102267</v>
      </c>
    </row>
    <row r="36" spans="1:14" x14ac:dyDescent="0.35">
      <c r="A36" t="s">
        <v>45</v>
      </c>
      <c r="B36">
        <v>4.0541946887969901E-2</v>
      </c>
      <c r="J36">
        <f t="shared" si="0"/>
        <v>1.3095507359403447E-4</v>
      </c>
      <c r="L36">
        <f t="shared" si="1"/>
        <v>19.32409785716338</v>
      </c>
      <c r="N36">
        <f t="shared" si="2"/>
        <v>51.855994876769955</v>
      </c>
    </row>
    <row r="37" spans="1:14" x14ac:dyDescent="0.35">
      <c r="A37" t="s">
        <v>46</v>
      </c>
      <c r="B37">
        <v>3.7074372172355603E-2</v>
      </c>
      <c r="J37">
        <f t="shared" si="0"/>
        <v>6.3616346916555225E-5</v>
      </c>
      <c r="L37">
        <f t="shared" si="1"/>
        <v>6.5428780344097346</v>
      </c>
      <c r="N37">
        <f t="shared" si="2"/>
        <v>12.237473553964019</v>
      </c>
    </row>
    <row r="38" spans="1:14" x14ac:dyDescent="0.35">
      <c r="A38" t="s">
        <v>47</v>
      </c>
      <c r="B38">
        <v>3.2592270523309701E-2</v>
      </c>
      <c r="J38">
        <f t="shared" si="0"/>
        <v>1.2207225336580907E-5</v>
      </c>
      <c r="L38">
        <f t="shared" si="1"/>
        <v>0.54997275647317989</v>
      </c>
      <c r="N38">
        <f t="shared" si="2"/>
        <v>0.45059693747471163</v>
      </c>
    </row>
    <row r="39" spans="1:14" x14ac:dyDescent="0.35">
      <c r="A39" t="s">
        <v>48</v>
      </c>
      <c r="B39">
        <v>2.8115686029195699E-2</v>
      </c>
      <c r="J39">
        <f t="shared" si="0"/>
        <v>9.6570028050392307E-7</v>
      </c>
      <c r="L39">
        <f t="shared" si="1"/>
        <v>-1.2237121468633138E-2</v>
      </c>
      <c r="N39">
        <f t="shared" si="2"/>
        <v>2.819934546067035E-3</v>
      </c>
    </row>
    <row r="40" spans="1:14" x14ac:dyDescent="0.35">
      <c r="A40" t="s">
        <v>50</v>
      </c>
      <c r="B40">
        <v>2.9535211622714899E-2</v>
      </c>
      <c r="J40">
        <f t="shared" si="0"/>
        <v>1.9081615885920865E-7</v>
      </c>
      <c r="L40">
        <f t="shared" si="1"/>
        <v>1.0748267301518377E-3</v>
      </c>
      <c r="N40">
        <f t="shared" si="2"/>
        <v>1.1009931356959998E-4</v>
      </c>
    </row>
    <row r="41" spans="1:14" x14ac:dyDescent="0.35">
      <c r="A41" t="s">
        <v>51</v>
      </c>
      <c r="B41">
        <v>2.9461666941642699E-2</v>
      </c>
      <c r="J41">
        <f t="shared" si="0"/>
        <v>1.3197265518283482E-7</v>
      </c>
      <c r="L41">
        <f t="shared" si="1"/>
        <v>6.182180291696757E-4</v>
      </c>
      <c r="N41">
        <f t="shared" si="2"/>
        <v>5.2665016153470473E-5</v>
      </c>
    </row>
    <row r="42" spans="1:14" x14ac:dyDescent="0.35">
      <c r="A42" t="s">
        <v>52</v>
      </c>
      <c r="B42">
        <v>2.9573839157819699E-2</v>
      </c>
      <c r="J42">
        <f t="shared" si="0"/>
        <v>2.2605519828987913E-7</v>
      </c>
      <c r="L42">
        <f t="shared" si="1"/>
        <v>1.3859178304799719E-3</v>
      </c>
      <c r="N42">
        <f t="shared" si="2"/>
        <v>1.5451950549245168E-4</v>
      </c>
    </row>
    <row r="43" spans="1:14" x14ac:dyDescent="0.35">
      <c r="A43" t="s">
        <v>54</v>
      </c>
      <c r="B43">
        <v>3.3227942883968298E-2</v>
      </c>
      <c r="J43">
        <f t="shared" si="0"/>
        <v>1.7053235654449744E-5</v>
      </c>
      <c r="L43">
        <f t="shared" si="1"/>
        <v>0.90808379344886625</v>
      </c>
      <c r="N43">
        <f t="shared" si="2"/>
        <v>0.87936241591768471</v>
      </c>
    </row>
    <row r="44" spans="1:14" x14ac:dyDescent="0.35">
      <c r="A44" t="s">
        <v>55</v>
      </c>
      <c r="B44">
        <v>3.2150190323591198E-2</v>
      </c>
      <c r="J44">
        <f t="shared" si="0"/>
        <v>9.3135063752522394E-6</v>
      </c>
      <c r="L44">
        <f t="shared" si="1"/>
        <v>0.36650977241078936</v>
      </c>
      <c r="N44">
        <f t="shared" si="2"/>
        <v>0.26228940337118972</v>
      </c>
    </row>
    <row r="45" spans="1:14" x14ac:dyDescent="0.35">
      <c r="A45" t="s">
        <v>57</v>
      </c>
      <c r="B45">
        <v>2.82913763076066E-2</v>
      </c>
      <c r="J45">
        <f t="shared" si="0"/>
        <v>6.5126550415779433E-7</v>
      </c>
      <c r="L45">
        <f t="shared" si="1"/>
        <v>-6.7772397223853434E-3</v>
      </c>
      <c r="N45">
        <f t="shared" si="2"/>
        <v>1.2825386554257336E-3</v>
      </c>
    </row>
    <row r="46" spans="1:14" x14ac:dyDescent="0.35">
      <c r="A46" t="s">
        <v>58</v>
      </c>
      <c r="B46">
        <v>2.7853839099407099E-2</v>
      </c>
      <c r="J46">
        <f t="shared" si="0"/>
        <v>1.5488983148764224E-6</v>
      </c>
      <c r="L46">
        <f t="shared" si="1"/>
        <v>-2.4857079170317379E-2</v>
      </c>
      <c r="N46">
        <f t="shared" si="2"/>
        <v>7.2543770983637505E-3</v>
      </c>
    </row>
    <row r="47" spans="1:14" x14ac:dyDescent="0.35">
      <c r="A47" t="s">
        <v>59</v>
      </c>
      <c r="B47">
        <v>2.7327526360750198E-2</v>
      </c>
      <c r="J47">
        <f t="shared" si="0"/>
        <v>3.1359457502493136E-6</v>
      </c>
      <c r="L47">
        <f t="shared" si="1"/>
        <v>-7.1609154545547907E-2</v>
      </c>
      <c r="N47">
        <f t="shared" si="2"/>
        <v>2.9736605751615131E-2</v>
      </c>
    </row>
    <row r="48" spans="1:14" x14ac:dyDescent="0.35">
      <c r="A48" t="s">
        <v>62</v>
      </c>
      <c r="B48">
        <v>2.8331035748124098E-2</v>
      </c>
      <c r="J48">
        <f t="shared" si="0"/>
        <v>5.8882722730476559E-7</v>
      </c>
      <c r="L48">
        <f t="shared" si="1"/>
        <v>-5.8263632808077679E-3</v>
      </c>
      <c r="N48">
        <f t="shared" si="2"/>
        <v>1.0484074053597778E-3</v>
      </c>
    </row>
    <row r="49" spans="1:14" x14ac:dyDescent="0.35">
      <c r="A49" t="s">
        <v>63</v>
      </c>
      <c r="B49">
        <v>3.1462945044040597E-2</v>
      </c>
      <c r="J49">
        <f t="shared" si="0"/>
        <v>5.5911369513484334E-6</v>
      </c>
      <c r="L49">
        <f t="shared" si="1"/>
        <v>0.1704770532586104</v>
      </c>
      <c r="N49">
        <f t="shared" si="2"/>
        <v>9.4526716664505878E-2</v>
      </c>
    </row>
    <row r="50" spans="1:14" x14ac:dyDescent="0.35">
      <c r="A50" t="s">
        <v>64</v>
      </c>
      <c r="B50">
        <v>2.2789210081100401E-2</v>
      </c>
      <c r="J50">
        <f t="shared" si="0"/>
        <v>3.9805707503301871E-5</v>
      </c>
      <c r="L50">
        <f t="shared" si="1"/>
        <v>-3.238424345985532</v>
      </c>
      <c r="N50">
        <f t="shared" si="2"/>
        <v>4.791207806929588</v>
      </c>
    </row>
    <row r="51" spans="1:14" x14ac:dyDescent="0.35">
      <c r="A51" t="s">
        <v>66</v>
      </c>
      <c r="B51">
        <v>2.9944935813546101E-2</v>
      </c>
      <c r="J51">
        <f t="shared" si="0"/>
        <v>7.1664568411168856E-7</v>
      </c>
      <c r="L51">
        <f t="shared" si="1"/>
        <v>7.8229844908746966E-3</v>
      </c>
      <c r="N51">
        <f t="shared" si="2"/>
        <v>1.5529708086927487E-3</v>
      </c>
    </row>
    <row r="52" spans="1:14" x14ac:dyDescent="0.35">
      <c r="A52" t="s">
        <v>68</v>
      </c>
      <c r="B52">
        <v>3.1706504523754099E-2</v>
      </c>
      <c r="J52">
        <f t="shared" si="0"/>
        <v>6.8022794528281387E-6</v>
      </c>
      <c r="L52">
        <f t="shared" si="1"/>
        <v>0.22876913984324532</v>
      </c>
      <c r="N52">
        <f t="shared" si="2"/>
        <v>0.13991466995601357</v>
      </c>
    </row>
    <row r="53" spans="1:14" x14ac:dyDescent="0.35">
      <c r="A53" t="s">
        <v>69</v>
      </c>
      <c r="B53">
        <v>3.4083530306816101E-2</v>
      </c>
      <c r="J53">
        <f t="shared" si="0"/>
        <v>2.4851658443960142E-5</v>
      </c>
      <c r="L53">
        <f t="shared" si="1"/>
        <v>1.5975291771852114</v>
      </c>
      <c r="N53">
        <f t="shared" si="2"/>
        <v>1.8675191553266837</v>
      </c>
    </row>
    <row r="54" spans="1:14" x14ac:dyDescent="0.35">
      <c r="A54" t="s">
        <v>70</v>
      </c>
      <c r="B54">
        <v>2.7025423943996402E-2</v>
      </c>
      <c r="J54">
        <f t="shared" si="0"/>
        <v>4.2971738960976505E-6</v>
      </c>
      <c r="L54">
        <f t="shared" si="1"/>
        <v>-0.11486563768704357</v>
      </c>
      <c r="N54">
        <f t="shared" si="2"/>
        <v>5.5836754953769663E-2</v>
      </c>
    </row>
    <row r="55" spans="1:14" x14ac:dyDescent="0.35">
      <c r="A55" t="s">
        <v>71</v>
      </c>
      <c r="B55">
        <v>2.56563927978277E-2</v>
      </c>
      <c r="J55">
        <f t="shared" si="0"/>
        <v>1.1847320874109642E-5</v>
      </c>
      <c r="L55">
        <f t="shared" si="1"/>
        <v>-0.52583072785216434</v>
      </c>
      <c r="N55">
        <f t="shared" si="2"/>
        <v>0.42441880189006587</v>
      </c>
    </row>
    <row r="56" spans="1:14" x14ac:dyDescent="0.35">
      <c r="A56" t="s">
        <v>73</v>
      </c>
      <c r="B56">
        <v>3.2690223306417403E-2</v>
      </c>
      <c r="J56">
        <f t="shared" si="0"/>
        <v>1.2901291405679444E-5</v>
      </c>
      <c r="L56">
        <f t="shared" si="1"/>
        <v>0.59753797638866135</v>
      </c>
      <c r="N56">
        <f t="shared" si="2"/>
        <v>0.50329275958706809</v>
      </c>
    </row>
    <row r="57" spans="1:14" x14ac:dyDescent="0.35">
      <c r="A57" t="s">
        <v>74</v>
      </c>
      <c r="B57">
        <v>2.95860189944505E-2</v>
      </c>
      <c r="J57">
        <f t="shared" si="0"/>
        <v>2.3778541729816133E-7</v>
      </c>
      <c r="L57">
        <f t="shared" si="1"/>
        <v>1.4951802791263484E-3</v>
      </c>
      <c r="N57">
        <f t="shared" si="2"/>
        <v>1.7097190352713103E-4</v>
      </c>
    </row>
    <row r="58" spans="1:14" x14ac:dyDescent="0.35">
      <c r="A58" t="s">
        <v>75</v>
      </c>
      <c r="B58">
        <v>3.3180888742208398E-2</v>
      </c>
      <c r="J58">
        <f t="shared" si="0"/>
        <v>1.6666824286834233E-5</v>
      </c>
      <c r="L58">
        <f t="shared" si="1"/>
        <v>0.87739472663532736</v>
      </c>
      <c r="N58">
        <f t="shared" si="2"/>
        <v>0.83996274948394223</v>
      </c>
    </row>
    <row r="59" spans="1:14" x14ac:dyDescent="0.35">
      <c r="A59" t="s">
        <v>77</v>
      </c>
      <c r="B59">
        <v>3.3088881522416999E-2</v>
      </c>
      <c r="J59">
        <f t="shared" si="0"/>
        <v>1.592405025923555E-5</v>
      </c>
      <c r="L59">
        <f t="shared" si="1"/>
        <v>0.81940015936246691</v>
      </c>
      <c r="N59">
        <f t="shared" si="2"/>
        <v>0.76676343113244483</v>
      </c>
    </row>
    <row r="60" spans="1:14" x14ac:dyDescent="0.35">
      <c r="A60" t="s">
        <v>78</v>
      </c>
      <c r="B60">
        <v>3.05946189910173E-2</v>
      </c>
      <c r="J60">
        <f t="shared" si="0"/>
        <v>2.2387115679270737E-6</v>
      </c>
      <c r="L60">
        <f t="shared" si="1"/>
        <v>4.3192958265242137E-2</v>
      </c>
      <c r="N60">
        <f t="shared" si="2"/>
        <v>1.5154813619224638E-2</v>
      </c>
    </row>
    <row r="61" spans="1:14" x14ac:dyDescent="0.35">
      <c r="A61" t="s">
        <v>79</v>
      </c>
      <c r="B61">
        <v>2.7581177651882099E-2</v>
      </c>
      <c r="J61">
        <f t="shared" si="0"/>
        <v>2.3019227894474247E-6</v>
      </c>
      <c r="L61">
        <f t="shared" si="1"/>
        <v>-4.5035175907919098E-2</v>
      </c>
      <c r="N61">
        <f t="shared" si="2"/>
        <v>1.602270430339266E-2</v>
      </c>
    </row>
    <row r="62" spans="1:14" x14ac:dyDescent="0.35">
      <c r="A62" t="s">
        <v>80</v>
      </c>
      <c r="B62">
        <v>2.83499155193567E-2</v>
      </c>
      <c r="J62">
        <f t="shared" si="0"/>
        <v>5.602088585130559E-7</v>
      </c>
      <c r="L62">
        <f t="shared" si="1"/>
        <v>-5.4068048242089939E-3</v>
      </c>
      <c r="N62">
        <f t="shared" si="2"/>
        <v>9.4897387554006036E-4</v>
      </c>
    </row>
    <row r="63" spans="1:14" x14ac:dyDescent="0.35">
      <c r="A63" t="s">
        <v>81</v>
      </c>
      <c r="B63">
        <v>2.3295409977436E-2</v>
      </c>
      <c r="J63">
        <f t="shared" si="0"/>
        <v>3.3674536906354611E-5</v>
      </c>
      <c r="L63">
        <f t="shared" si="1"/>
        <v>-2.5198122484138388</v>
      </c>
      <c r="N63">
        <f t="shared" si="2"/>
        <v>3.4289217695807945</v>
      </c>
    </row>
    <row r="64" spans="1:14" x14ac:dyDescent="0.35">
      <c r="A64" t="s">
        <v>83</v>
      </c>
      <c r="B64">
        <v>3.03539559245109E-2</v>
      </c>
      <c r="J64">
        <f t="shared" si="0"/>
        <v>1.5764544964816426E-6</v>
      </c>
      <c r="L64">
        <f t="shared" si="1"/>
        <v>2.5523362814867577E-2</v>
      </c>
      <c r="N64">
        <f t="shared" si="2"/>
        <v>7.5147959393451133E-3</v>
      </c>
    </row>
    <row r="65" spans="1:14" x14ac:dyDescent="0.35">
      <c r="A65" t="s">
        <v>85</v>
      </c>
      <c r="B65">
        <v>3.0211500823497699E-2</v>
      </c>
      <c r="J65">
        <f t="shared" si="0"/>
        <v>1.2390234233401454E-6</v>
      </c>
      <c r="L65">
        <f t="shared" si="1"/>
        <v>1.7784227675851555E-2</v>
      </c>
      <c r="N65">
        <f t="shared" si="2"/>
        <v>4.6420877546276907E-3</v>
      </c>
    </row>
    <row r="66" spans="1:14" x14ac:dyDescent="0.35">
      <c r="A66" t="s">
        <v>87</v>
      </c>
      <c r="B66">
        <v>2.6647994294762601E-2</v>
      </c>
      <c r="J66">
        <f t="shared" si="0"/>
        <v>6.0044221220287153E-6</v>
      </c>
      <c r="L66">
        <f t="shared" si="1"/>
        <v>-0.18972412526898355</v>
      </c>
      <c r="N66">
        <f t="shared" si="2"/>
        <v>0.10901763229826401</v>
      </c>
    </row>
    <row r="67" spans="1:14" x14ac:dyDescent="0.35">
      <c r="A67" t="s">
        <v>88</v>
      </c>
      <c r="B67">
        <v>2.71243844181299E-2</v>
      </c>
      <c r="J67">
        <f t="shared" ref="J67:J130" si="3">(B67-$E$4)^2</f>
        <v>3.8966843501678774E-6</v>
      </c>
      <c r="L67">
        <f t="shared" ref="L67:L130" si="4">((B67 - $E$4) / $E$7)^3</f>
        <v>-9.9187872617896772E-2</v>
      </c>
      <c r="N67">
        <f t="shared" ref="N67:N130" si="5">((B67 - $E$4) / $E$7)^4</f>
        <v>4.5913961686079321E-2</v>
      </c>
    </row>
    <row r="68" spans="1:14" x14ac:dyDescent="0.35">
      <c r="A68" t="s">
        <v>91</v>
      </c>
      <c r="B68">
        <v>3.0165521427988999E-2</v>
      </c>
      <c r="J68">
        <f t="shared" si="3"/>
        <v>1.1387768837484166E-6</v>
      </c>
      <c r="L68">
        <f t="shared" si="4"/>
        <v>1.567016966616876E-2</v>
      </c>
      <c r="N68">
        <f t="shared" si="5"/>
        <v>3.9213138051304008E-3</v>
      </c>
    </row>
    <row r="69" spans="1:14" x14ac:dyDescent="0.35">
      <c r="A69" t="s">
        <v>92</v>
      </c>
      <c r="B69">
        <v>2.4658987298607798E-2</v>
      </c>
      <c r="J69">
        <f t="shared" si="3"/>
        <v>1.970826556379793E-5</v>
      </c>
      <c r="L69">
        <f t="shared" si="4"/>
        <v>-1.1282058390986853</v>
      </c>
      <c r="N69">
        <f t="shared" si="5"/>
        <v>1.1744948698907172</v>
      </c>
    </row>
    <row r="70" spans="1:14" x14ac:dyDescent="0.35">
      <c r="A70" t="s">
        <v>93</v>
      </c>
      <c r="B70">
        <v>2.86986827850341E-2</v>
      </c>
      <c r="J70">
        <f t="shared" si="3"/>
        <v>1.59763086270868E-7</v>
      </c>
      <c r="L70">
        <f t="shared" si="4"/>
        <v>-8.2343703688615775E-4</v>
      </c>
      <c r="N70">
        <f t="shared" si="5"/>
        <v>7.7180430375522346E-5</v>
      </c>
    </row>
    <row r="71" spans="1:14" x14ac:dyDescent="0.35">
      <c r="A71" t="s">
        <v>94</v>
      </c>
      <c r="B71">
        <v>2.4566881358623501E-2</v>
      </c>
      <c r="J71">
        <f t="shared" si="3"/>
        <v>2.0534539146907468E-5</v>
      </c>
      <c r="L71">
        <f t="shared" si="4"/>
        <v>-1.1998948115111738</v>
      </c>
      <c r="N71">
        <f t="shared" si="5"/>
        <v>1.2750412459311928</v>
      </c>
    </row>
    <row r="72" spans="1:14" x14ac:dyDescent="0.35">
      <c r="A72" t="s">
        <v>95</v>
      </c>
      <c r="B72">
        <v>2.65142004936933E-2</v>
      </c>
      <c r="J72">
        <f t="shared" si="3"/>
        <v>6.6780174866067546E-6</v>
      </c>
      <c r="L72">
        <f t="shared" si="4"/>
        <v>-0.22252922864936994</v>
      </c>
      <c r="N72">
        <f t="shared" si="5"/>
        <v>0.13484952366751393</v>
      </c>
    </row>
    <row r="73" spans="1:14" x14ac:dyDescent="0.35">
      <c r="A73" t="s">
        <v>96</v>
      </c>
      <c r="B73">
        <v>2.84068156033754E-2</v>
      </c>
      <c r="J73">
        <f t="shared" si="3"/>
        <v>4.7827035093174371E-7</v>
      </c>
      <c r="L73">
        <f t="shared" si="4"/>
        <v>-4.2650676378376802E-3</v>
      </c>
      <c r="N73">
        <f t="shared" si="5"/>
        <v>6.9167364896117003E-4</v>
      </c>
    </row>
    <row r="74" spans="1:14" x14ac:dyDescent="0.35">
      <c r="A74" t="s">
        <v>97</v>
      </c>
      <c r="B74">
        <v>2.9979247599840102E-2</v>
      </c>
      <c r="J74">
        <f t="shared" si="3"/>
        <v>7.7591621878184277E-7</v>
      </c>
      <c r="L74">
        <f t="shared" si="4"/>
        <v>8.8132883512604451E-3</v>
      </c>
      <c r="N74">
        <f t="shared" si="5"/>
        <v>1.8204718703750038E-3</v>
      </c>
    </row>
    <row r="75" spans="1:14" x14ac:dyDescent="0.35">
      <c r="A75" t="s">
        <v>98</v>
      </c>
      <c r="B75">
        <v>2.9071729630231798E-2</v>
      </c>
      <c r="J75">
        <f t="shared" si="3"/>
        <v>7.1059047405535868E-10</v>
      </c>
      <c r="L75">
        <f t="shared" si="4"/>
        <v>-2.4425575574749641E-7</v>
      </c>
      <c r="N75">
        <f t="shared" si="5"/>
        <v>1.5268384045446314E-9</v>
      </c>
    </row>
    <row r="76" spans="1:14" x14ac:dyDescent="0.35">
      <c r="A76" t="s">
        <v>99</v>
      </c>
      <c r="B76">
        <v>3.32155339419841E-2</v>
      </c>
      <c r="J76">
        <f t="shared" si="3"/>
        <v>1.6950902785935759E-5</v>
      </c>
      <c r="L76">
        <f t="shared" si="4"/>
        <v>0.89992223927098036</v>
      </c>
      <c r="N76">
        <f t="shared" si="5"/>
        <v>0.86884034470871252</v>
      </c>
    </row>
    <row r="77" spans="1:14" x14ac:dyDescent="0.35">
      <c r="A77" t="s">
        <v>100</v>
      </c>
      <c r="B77">
        <v>2.95811910182237E-2</v>
      </c>
      <c r="J77">
        <f t="shared" si="3"/>
        <v>2.3310017079161523E-7</v>
      </c>
      <c r="L77">
        <f t="shared" si="4"/>
        <v>1.4512078609743957E-3</v>
      </c>
      <c r="N77">
        <f t="shared" si="5"/>
        <v>1.6430073123552128E-4</v>
      </c>
    </row>
    <row r="78" spans="1:14" x14ac:dyDescent="0.35">
      <c r="A78" t="s">
        <v>101</v>
      </c>
      <c r="B78">
        <v>3.0511906370520502E-2</v>
      </c>
      <c r="J78">
        <f t="shared" si="3"/>
        <v>1.998038330594065E-6</v>
      </c>
      <c r="L78">
        <f t="shared" si="4"/>
        <v>3.6418450001244114E-2</v>
      </c>
      <c r="N78">
        <f t="shared" si="5"/>
        <v>1.2071519601095945E-2</v>
      </c>
    </row>
    <row r="79" spans="1:14" x14ac:dyDescent="0.35">
      <c r="A79" t="s">
        <v>102</v>
      </c>
      <c r="B79">
        <v>3.11947837471961E-2</v>
      </c>
      <c r="J79">
        <f t="shared" si="3"/>
        <v>4.3948812789922298E-6</v>
      </c>
      <c r="L79">
        <f t="shared" si="4"/>
        <v>0.11880547534769904</v>
      </c>
      <c r="N79">
        <f t="shared" si="5"/>
        <v>5.8404809051048417E-2</v>
      </c>
    </row>
    <row r="80" spans="1:14" x14ac:dyDescent="0.35">
      <c r="A80" t="s">
        <v>103</v>
      </c>
      <c r="B80">
        <v>2.6988964527845299E-2</v>
      </c>
      <c r="J80">
        <f t="shared" si="3"/>
        <v>4.4496611965321478E-6</v>
      </c>
      <c r="L80">
        <f t="shared" si="4"/>
        <v>-0.12103365581012271</v>
      </c>
      <c r="N80">
        <f t="shared" si="5"/>
        <v>5.9869854369483402E-2</v>
      </c>
    </row>
    <row r="81" spans="1:14" x14ac:dyDescent="0.35">
      <c r="A81" t="s">
        <v>104</v>
      </c>
      <c r="B81">
        <v>3.2149121165275497E-2</v>
      </c>
      <c r="J81">
        <f t="shared" si="3"/>
        <v>9.306981795550907E-6</v>
      </c>
      <c r="L81">
        <f t="shared" si="4"/>
        <v>0.36612470207329406</v>
      </c>
      <c r="N81">
        <f t="shared" si="5"/>
        <v>0.26192203825380694</v>
      </c>
    </row>
    <row r="82" spans="1:14" x14ac:dyDescent="0.35">
      <c r="A82" t="s">
        <v>108</v>
      </c>
      <c r="B82">
        <v>2.7098428457975301E-2</v>
      </c>
      <c r="J82">
        <f t="shared" si="3"/>
        <v>3.99983230252138E-6</v>
      </c>
      <c r="L82">
        <f t="shared" si="4"/>
        <v>-0.10315217977836121</v>
      </c>
      <c r="N82">
        <f t="shared" si="5"/>
        <v>4.8376882672809984E-2</v>
      </c>
    </row>
    <row r="83" spans="1:14" x14ac:dyDescent="0.35">
      <c r="A83" t="s">
        <v>109</v>
      </c>
      <c r="B83">
        <v>2.5630544871091801E-2</v>
      </c>
      <c r="J83">
        <f t="shared" si="3"/>
        <v>1.2025925793219092E-5</v>
      </c>
      <c r="L83">
        <f t="shared" si="4"/>
        <v>-0.53776621478626185</v>
      </c>
      <c r="N83">
        <f t="shared" si="5"/>
        <v>0.43731195720087435</v>
      </c>
    </row>
    <row r="84" spans="1:14" x14ac:dyDescent="0.35">
      <c r="A84" t="s">
        <v>111</v>
      </c>
      <c r="B84">
        <v>2.5964383035898202E-2</v>
      </c>
      <c r="J84">
        <f t="shared" si="3"/>
        <v>9.8219779208881916E-6</v>
      </c>
      <c r="L84">
        <f t="shared" si="4"/>
        <v>-0.39693022006666318</v>
      </c>
      <c r="N84">
        <f t="shared" si="5"/>
        <v>0.29171060630499218</v>
      </c>
    </row>
    <row r="85" spans="1:14" x14ac:dyDescent="0.35">
      <c r="A85" t="s">
        <v>112</v>
      </c>
      <c r="B85">
        <v>2.49710995703935E-2</v>
      </c>
      <c r="J85">
        <f t="shared" si="3"/>
        <v>1.7034497673073694E-5</v>
      </c>
      <c r="L85">
        <f t="shared" si="4"/>
        <v>-0.90658751005796478</v>
      </c>
      <c r="N85">
        <f t="shared" si="5"/>
        <v>0.87743100252079109</v>
      </c>
    </row>
    <row r="86" spans="1:14" x14ac:dyDescent="0.35">
      <c r="A86" t="s">
        <v>113</v>
      </c>
      <c r="B86">
        <v>2.7489924803376101E-2</v>
      </c>
      <c r="J86">
        <f t="shared" si="3"/>
        <v>2.5871491361994336E-6</v>
      </c>
      <c r="L86">
        <f t="shared" si="4"/>
        <v>-5.3659661803661614E-2</v>
      </c>
      <c r="N86">
        <f t="shared" si="5"/>
        <v>2.0239381727087537E-2</v>
      </c>
    </row>
    <row r="87" spans="1:14" x14ac:dyDescent="0.35">
      <c r="A87" t="s">
        <v>114</v>
      </c>
      <c r="B87">
        <v>3.2770842313766403E-2</v>
      </c>
      <c r="J87">
        <f t="shared" si="3"/>
        <v>1.3486931460463676E-5</v>
      </c>
      <c r="L87">
        <f t="shared" si="4"/>
        <v>0.63868315258037744</v>
      </c>
      <c r="N87">
        <f t="shared" si="5"/>
        <v>0.55002270016481158</v>
      </c>
    </row>
    <row r="88" spans="1:14" x14ac:dyDescent="0.35">
      <c r="A88" t="s">
        <v>115</v>
      </c>
      <c r="B88">
        <v>3.3254444599151597E-2</v>
      </c>
      <c r="J88">
        <f t="shared" si="3"/>
        <v>1.7272818647842088E-5</v>
      </c>
      <c r="L88">
        <f t="shared" si="4"/>
        <v>0.92567930506462692</v>
      </c>
      <c r="N88">
        <f t="shared" si="5"/>
        <v>0.90215412533321238</v>
      </c>
    </row>
    <row r="89" spans="1:14" x14ac:dyDescent="0.35">
      <c r="A89" t="s">
        <v>117</v>
      </c>
      <c r="B89">
        <v>2.8197368606925E-2</v>
      </c>
      <c r="J89">
        <f t="shared" si="3"/>
        <v>8.1183330340803409E-7</v>
      </c>
      <c r="L89">
        <f t="shared" si="4"/>
        <v>-9.4322657736986039E-3</v>
      </c>
      <c r="N89">
        <f t="shared" si="5"/>
        <v>1.9929116191662534E-3</v>
      </c>
    </row>
    <row r="90" spans="1:14" x14ac:dyDescent="0.35">
      <c r="A90" t="s">
        <v>118</v>
      </c>
      <c r="B90">
        <v>2.74016056209802E-2</v>
      </c>
      <c r="J90">
        <f t="shared" si="3"/>
        <v>2.8790654639588327E-6</v>
      </c>
      <c r="L90">
        <f t="shared" si="4"/>
        <v>-6.2993109180423321E-2</v>
      </c>
      <c r="N90">
        <f t="shared" si="5"/>
        <v>2.5064404614353431E-2</v>
      </c>
    </row>
    <row r="91" spans="1:14" x14ac:dyDescent="0.35">
      <c r="A91" t="s">
        <v>119</v>
      </c>
      <c r="B91">
        <v>3.0455337837338399E-2</v>
      </c>
      <c r="J91">
        <f t="shared" si="3"/>
        <v>1.8413168418945683E-6</v>
      </c>
      <c r="L91">
        <f t="shared" si="4"/>
        <v>3.2218737830241102E-2</v>
      </c>
      <c r="N91">
        <f t="shared" si="5"/>
        <v>1.0252065303703557E-2</v>
      </c>
    </row>
    <row r="92" spans="1:14" x14ac:dyDescent="0.35">
      <c r="A92" t="s">
        <v>120</v>
      </c>
      <c r="B92">
        <v>3.2420959323644603E-2</v>
      </c>
      <c r="J92">
        <f t="shared" si="3"/>
        <v>1.1039489948027289E-5</v>
      </c>
      <c r="L92">
        <f t="shared" si="4"/>
        <v>0.47297615584302949</v>
      </c>
      <c r="N92">
        <f t="shared" si="5"/>
        <v>0.36851258978361201</v>
      </c>
    </row>
    <row r="93" spans="1:14" x14ac:dyDescent="0.35">
      <c r="A93" t="s">
        <v>121</v>
      </c>
      <c r="B93">
        <v>2.8874764218926399E-2</v>
      </c>
      <c r="J93">
        <f t="shared" si="3"/>
        <v>5.000693942597497E-8</v>
      </c>
      <c r="L93">
        <f t="shared" si="4"/>
        <v>-1.4419863439538925E-4</v>
      </c>
      <c r="N93">
        <f t="shared" si="5"/>
        <v>7.5616202559889745E-6</v>
      </c>
    </row>
    <row r="94" spans="1:14" x14ac:dyDescent="0.35">
      <c r="A94" t="s">
        <v>123</v>
      </c>
      <c r="B94">
        <v>2.8109500184655099E-2</v>
      </c>
      <c r="J94">
        <f t="shared" si="3"/>
        <v>9.7789621027166422E-7</v>
      </c>
      <c r="L94">
        <f t="shared" si="4"/>
        <v>-1.2469667670803639E-2</v>
      </c>
      <c r="N94">
        <f t="shared" si="5"/>
        <v>2.8916108056859608E-3</v>
      </c>
    </row>
    <row r="95" spans="1:14" x14ac:dyDescent="0.35">
      <c r="A95" t="s">
        <v>124</v>
      </c>
      <c r="B95">
        <v>2.1083798259496599E-2</v>
      </c>
      <c r="J95">
        <f t="shared" si="3"/>
        <v>6.4233625196442651E-5</v>
      </c>
      <c r="L95">
        <f t="shared" si="4"/>
        <v>-6.6383383550128245</v>
      </c>
      <c r="N95">
        <f t="shared" si="5"/>
        <v>12.476109545964867</v>
      </c>
    </row>
    <row r="96" spans="1:14" x14ac:dyDescent="0.35">
      <c r="A96" t="s">
        <v>125</v>
      </c>
      <c r="B96">
        <v>2.7717834338545799E-2</v>
      </c>
      <c r="J96">
        <f t="shared" si="3"/>
        <v>1.9059243620712695E-6</v>
      </c>
      <c r="L96">
        <f t="shared" si="4"/>
        <v>-3.3929247417281726E-2</v>
      </c>
      <c r="N96">
        <f t="shared" si="5"/>
        <v>1.0984129275175121E-2</v>
      </c>
    </row>
    <row r="97" spans="1:14" x14ac:dyDescent="0.35">
      <c r="A97" t="s">
        <v>127</v>
      </c>
      <c r="B97">
        <v>2.96491533517837E-2</v>
      </c>
      <c r="J97">
        <f t="shared" si="3"/>
        <v>3.0334408849001684E-7</v>
      </c>
      <c r="L97">
        <f t="shared" si="4"/>
        <v>2.1543637779082728E-3</v>
      </c>
      <c r="N97">
        <f t="shared" si="5"/>
        <v>2.7824372875043642E-4</v>
      </c>
    </row>
    <row r="98" spans="1:14" x14ac:dyDescent="0.35">
      <c r="A98" t="s">
        <v>128</v>
      </c>
      <c r="B98">
        <v>2.9239913448691299E-2</v>
      </c>
      <c r="J98">
        <f t="shared" si="3"/>
        <v>2.0029867818041814E-8</v>
      </c>
      <c r="L98">
        <f t="shared" si="4"/>
        <v>3.6553827628945561E-5</v>
      </c>
      <c r="N98">
        <f t="shared" si="5"/>
        <v>1.2131387619394353E-6</v>
      </c>
    </row>
    <row r="99" spans="1:14" x14ac:dyDescent="0.35">
      <c r="A99" t="s">
        <v>129</v>
      </c>
      <c r="B99">
        <v>2.66098957508802E-2</v>
      </c>
      <c r="J99">
        <f t="shared" si="3"/>
        <v>6.1925863735225061E-6</v>
      </c>
      <c r="L99">
        <f t="shared" si="4"/>
        <v>-0.19871188531897108</v>
      </c>
      <c r="N99">
        <f t="shared" si="5"/>
        <v>0.11595739717221977</v>
      </c>
    </row>
    <row r="100" spans="1:14" x14ac:dyDescent="0.35">
      <c r="A100" t="s">
        <v>131</v>
      </c>
      <c r="B100">
        <v>3.0363259837031299E-2</v>
      </c>
      <c r="J100">
        <f t="shared" si="3"/>
        <v>1.5999044748305508E-6</v>
      </c>
      <c r="L100">
        <f t="shared" si="4"/>
        <v>2.6094970743922499E-2</v>
      </c>
      <c r="N100">
        <f t="shared" si="5"/>
        <v>7.7400259910740642E-3</v>
      </c>
    </row>
    <row r="101" spans="1:14" x14ac:dyDescent="0.35">
      <c r="A101" t="s">
        <v>132</v>
      </c>
      <c r="B101">
        <v>2.6098484173417001E-2</v>
      </c>
      <c r="J101">
        <f t="shared" si="3"/>
        <v>8.9994141680289519E-6</v>
      </c>
      <c r="L101">
        <f t="shared" si="4"/>
        <v>-0.34812650776456738</v>
      </c>
      <c r="N101">
        <f t="shared" si="5"/>
        <v>0.24489662009609964</v>
      </c>
    </row>
    <row r="102" spans="1:14" x14ac:dyDescent="0.35">
      <c r="A102" t="s">
        <v>133</v>
      </c>
      <c r="B102">
        <v>2.7424648404121399E-2</v>
      </c>
      <c r="J102">
        <f t="shared" si="3"/>
        <v>2.8013993246184692E-6</v>
      </c>
      <c r="L102">
        <f t="shared" si="4"/>
        <v>-6.0461409034349808E-2</v>
      </c>
      <c r="N102">
        <f t="shared" si="5"/>
        <v>2.3730361386315627E-2</v>
      </c>
    </row>
    <row r="103" spans="1:14" x14ac:dyDescent="0.35">
      <c r="A103" t="s">
        <v>136</v>
      </c>
      <c r="B103">
        <v>2.8724450618028599E-2</v>
      </c>
      <c r="J103">
        <f t="shared" si="3"/>
        <v>1.3982806862981252E-7</v>
      </c>
      <c r="L103">
        <f t="shared" si="4"/>
        <v>-6.7422875884602781E-4</v>
      </c>
      <c r="N103">
        <f t="shared" si="5"/>
        <v>5.9121171468301768E-5</v>
      </c>
    </row>
    <row r="104" spans="1:14" x14ac:dyDescent="0.35">
      <c r="A104" t="s">
        <v>140</v>
      </c>
      <c r="B104">
        <v>2.2294208407402E-2</v>
      </c>
      <c r="J104">
        <f t="shared" si="3"/>
        <v>4.6296839967128335E-5</v>
      </c>
      <c r="L104">
        <f t="shared" si="4"/>
        <v>-4.0620265523161603</v>
      </c>
      <c r="N104">
        <f t="shared" si="5"/>
        <v>6.481223687468824</v>
      </c>
    </row>
    <row r="105" spans="1:14" x14ac:dyDescent="0.35">
      <c r="A105" t="s">
        <v>141</v>
      </c>
      <c r="B105">
        <v>2.3960843682289099E-2</v>
      </c>
      <c r="J105">
        <f t="shared" si="3"/>
        <v>2.6394346544598649E-5</v>
      </c>
      <c r="L105">
        <f t="shared" si="4"/>
        <v>-1.7485663094094182</v>
      </c>
      <c r="N105">
        <f t="shared" si="5"/>
        <v>2.1065711968911072</v>
      </c>
    </row>
    <row r="106" spans="1:14" x14ac:dyDescent="0.35">
      <c r="A106" t="s">
        <v>142</v>
      </c>
      <c r="B106">
        <v>2.7206428349018E-2</v>
      </c>
      <c r="J106">
        <f t="shared" si="3"/>
        <v>3.5795057705654434E-6</v>
      </c>
      <c r="L106">
        <f t="shared" si="4"/>
        <v>-8.7327360764381357E-2</v>
      </c>
      <c r="N106">
        <f t="shared" si="5"/>
        <v>3.8743642316478498E-2</v>
      </c>
    </row>
    <row r="107" spans="1:14" x14ac:dyDescent="0.35">
      <c r="A107" t="s">
        <v>144</v>
      </c>
      <c r="B107">
        <v>2.60137487202882E-2</v>
      </c>
      <c r="J107">
        <f t="shared" si="3"/>
        <v>9.5149904366369129E-6</v>
      </c>
      <c r="L107">
        <f t="shared" si="4"/>
        <v>-0.37846721886406692</v>
      </c>
      <c r="N107">
        <f t="shared" si="5"/>
        <v>0.2737606510941859</v>
      </c>
    </row>
    <row r="108" spans="1:14" x14ac:dyDescent="0.35">
      <c r="A108" t="s">
        <v>145</v>
      </c>
      <c r="B108">
        <v>3.0845481902360899E-2</v>
      </c>
      <c r="J108">
        <f t="shared" si="3"/>
        <v>3.0523422290614791E-6</v>
      </c>
      <c r="L108">
        <f t="shared" si="4"/>
        <v>6.8764703130152746E-2</v>
      </c>
      <c r="N108">
        <f t="shared" si="5"/>
        <v>2.8172200021327948E-2</v>
      </c>
    </row>
    <row r="109" spans="1:14" x14ac:dyDescent="0.35">
      <c r="A109" t="s">
        <v>146</v>
      </c>
      <c r="B109">
        <v>2.91711073368787E-2</v>
      </c>
      <c r="J109">
        <f t="shared" si="3"/>
        <v>5.2883152925885878E-9</v>
      </c>
      <c r="L109">
        <f t="shared" si="4"/>
        <v>4.9589730132805836E-6</v>
      </c>
      <c r="N109">
        <f t="shared" si="5"/>
        <v>8.4564676759384154E-8</v>
      </c>
    </row>
    <row r="110" spans="1:14" x14ac:dyDescent="0.35">
      <c r="A110" t="s">
        <v>147</v>
      </c>
      <c r="B110">
        <v>2.8422180563211399E-2</v>
      </c>
      <c r="J110">
        <f t="shared" si="3"/>
        <v>4.572545138025443E-7</v>
      </c>
      <c r="L110">
        <f t="shared" si="4"/>
        <v>-3.9870596819044542E-3</v>
      </c>
      <c r="N110">
        <f t="shared" si="5"/>
        <v>6.3222303531607809E-4</v>
      </c>
    </row>
    <row r="111" spans="1:14" x14ac:dyDescent="0.35">
      <c r="A111" t="s">
        <v>148</v>
      </c>
      <c r="B111">
        <v>2.69206259399652E-2</v>
      </c>
      <c r="J111">
        <f t="shared" si="3"/>
        <v>4.7426412012992754E-6</v>
      </c>
      <c r="L111">
        <f t="shared" si="4"/>
        <v>-0.13318218615463343</v>
      </c>
      <c r="N111">
        <f t="shared" si="5"/>
        <v>6.8013457439579358E-2</v>
      </c>
    </row>
    <row r="112" spans="1:14" x14ac:dyDescent="0.35">
      <c r="A112" t="s">
        <v>150</v>
      </c>
      <c r="B112">
        <v>2.9091024771332699E-2</v>
      </c>
      <c r="J112">
        <f t="shared" si="3"/>
        <v>5.4195537293533829E-11</v>
      </c>
      <c r="L112">
        <f t="shared" si="4"/>
        <v>-5.1447114779694007E-9</v>
      </c>
      <c r="N112">
        <f t="shared" si="5"/>
        <v>8.8813986724938267E-12</v>
      </c>
    </row>
    <row r="113" spans="1:14" x14ac:dyDescent="0.35">
      <c r="A113" t="s">
        <v>151</v>
      </c>
      <c r="B113">
        <v>1.1331455782055799E-2</v>
      </c>
      <c r="J113">
        <f t="shared" si="3"/>
        <v>3.156638283147532E-4</v>
      </c>
      <c r="L113">
        <f t="shared" si="4"/>
        <v>-72.319091799733613</v>
      </c>
      <c r="N113">
        <f t="shared" si="5"/>
        <v>301.30334377523764</v>
      </c>
    </row>
    <row r="114" spans="1:14" x14ac:dyDescent="0.35">
      <c r="A114" t="s">
        <v>152</v>
      </c>
      <c r="B114">
        <v>2.5884108617901799E-2</v>
      </c>
      <c r="J114">
        <f t="shared" si="3"/>
        <v>1.0331582516556616E-5</v>
      </c>
      <c r="L114">
        <f t="shared" si="4"/>
        <v>-0.42821907366156559</v>
      </c>
      <c r="N114">
        <f t="shared" si="5"/>
        <v>0.3227661710140432</v>
      </c>
    </row>
    <row r="115" spans="1:14" x14ac:dyDescent="0.35">
      <c r="A115" t="s">
        <v>153</v>
      </c>
      <c r="B115">
        <v>2.2941933944821299E-2</v>
      </c>
      <c r="J115">
        <f t="shared" si="3"/>
        <v>3.7901908472538925E-5</v>
      </c>
      <c r="L115">
        <f t="shared" si="4"/>
        <v>-3.008897215589724</v>
      </c>
      <c r="N115">
        <f t="shared" si="5"/>
        <v>4.3438665028088392</v>
      </c>
    </row>
    <row r="116" spans="1:14" x14ac:dyDescent="0.35">
      <c r="A116" t="s">
        <v>155</v>
      </c>
      <c r="B116">
        <v>2.4784030392765999E-2</v>
      </c>
      <c r="J116">
        <f t="shared" si="3"/>
        <v>1.8613668906209122E-5</v>
      </c>
      <c r="L116">
        <f t="shared" si="4"/>
        <v>-1.0355324470220719</v>
      </c>
      <c r="N116">
        <f t="shared" si="5"/>
        <v>1.0476549805610573</v>
      </c>
    </row>
    <row r="117" spans="1:14" x14ac:dyDescent="0.35">
      <c r="A117" t="s">
        <v>156</v>
      </c>
      <c r="B117">
        <v>2.6353333145379999E-2</v>
      </c>
      <c r="J117">
        <f t="shared" si="3"/>
        <v>7.535318101796626E-6</v>
      </c>
      <c r="L117">
        <f t="shared" si="4"/>
        <v>-0.26672770037906968</v>
      </c>
      <c r="N117">
        <f t="shared" si="5"/>
        <v>0.17169493917358988</v>
      </c>
    </row>
    <row r="118" spans="1:14" x14ac:dyDescent="0.35">
      <c r="A118" t="s">
        <v>157</v>
      </c>
      <c r="B118">
        <v>3.4243222326040199E-2</v>
      </c>
      <c r="J118">
        <f t="shared" si="3"/>
        <v>2.6469335335637185E-5</v>
      </c>
      <c r="L118">
        <f t="shared" si="4"/>
        <v>1.7560233587278467</v>
      </c>
      <c r="N118">
        <f t="shared" si="5"/>
        <v>2.1185581297481573</v>
      </c>
    </row>
    <row r="119" spans="1:14" x14ac:dyDescent="0.35">
      <c r="A119" t="s">
        <v>158</v>
      </c>
      <c r="B119">
        <v>2.61873379349708E-2</v>
      </c>
      <c r="J119">
        <f t="shared" si="3"/>
        <v>8.4742039410555382E-6</v>
      </c>
      <c r="L119">
        <f t="shared" si="4"/>
        <v>-0.31810031706549557</v>
      </c>
      <c r="N119">
        <f t="shared" si="5"/>
        <v>0.21714615112891286</v>
      </c>
    </row>
    <row r="120" spans="1:14" x14ac:dyDescent="0.35">
      <c r="A120" t="s">
        <v>159</v>
      </c>
      <c r="B120">
        <v>2.96415463089942E-2</v>
      </c>
      <c r="J120">
        <f t="shared" si="3"/>
        <v>2.9502254207749733E-7</v>
      </c>
      <c r="L120">
        <f t="shared" si="4"/>
        <v>2.0663245513268202E-3</v>
      </c>
      <c r="N120">
        <f t="shared" si="5"/>
        <v>2.6318717015560116E-4</v>
      </c>
    </row>
    <row r="121" spans="1:14" x14ac:dyDescent="0.35">
      <c r="A121" t="s">
        <v>160</v>
      </c>
      <c r="B121">
        <v>2.60551869869232E-2</v>
      </c>
      <c r="J121">
        <f t="shared" si="3"/>
        <v>9.2610634782537406E-6</v>
      </c>
      <c r="L121">
        <f t="shared" si="4"/>
        <v>-0.36341849550933231</v>
      </c>
      <c r="N121">
        <f t="shared" si="5"/>
        <v>0.2593438984502176</v>
      </c>
    </row>
    <row r="122" spans="1:14" x14ac:dyDescent="0.35">
      <c r="A122" t="s">
        <v>161</v>
      </c>
      <c r="B122">
        <v>2.8876520693302099E-2</v>
      </c>
      <c r="J122">
        <f t="shared" si="3"/>
        <v>4.9224450898613266E-8</v>
      </c>
      <c r="L122">
        <f t="shared" si="4"/>
        <v>-1.4082736554718112E-4</v>
      </c>
      <c r="N122">
        <f t="shared" si="5"/>
        <v>7.3268292979716516E-6</v>
      </c>
    </row>
    <row r="123" spans="1:14" x14ac:dyDescent="0.35">
      <c r="A123" t="s">
        <v>163</v>
      </c>
      <c r="B123">
        <v>2.20129787921905E-2</v>
      </c>
      <c r="J123">
        <f t="shared" si="3"/>
        <v>5.0203002855878708E-5</v>
      </c>
      <c r="L123">
        <f t="shared" si="4"/>
        <v>-4.5868049976736618</v>
      </c>
      <c r="N123">
        <f t="shared" si="5"/>
        <v>7.6210305526079996</v>
      </c>
    </row>
    <row r="124" spans="1:14" x14ac:dyDescent="0.35">
      <c r="A124" t="s">
        <v>164</v>
      </c>
      <c r="B124">
        <v>2.6843162253499E-2</v>
      </c>
      <c r="J124">
        <f t="shared" si="3"/>
        <v>5.0860365516005474E-6</v>
      </c>
      <c r="L124">
        <f t="shared" si="4"/>
        <v>-0.14790571325309634</v>
      </c>
      <c r="N124">
        <f t="shared" si="5"/>
        <v>7.8219181446777433E-2</v>
      </c>
    </row>
    <row r="125" spans="1:14" x14ac:dyDescent="0.35">
      <c r="A125" t="s">
        <v>166</v>
      </c>
      <c r="B125">
        <v>2.78821382671594E-2</v>
      </c>
      <c r="J125">
        <f t="shared" si="3"/>
        <v>1.4792598445646057E-6</v>
      </c>
      <c r="L125">
        <f t="shared" si="4"/>
        <v>-2.3199703631712157E-2</v>
      </c>
      <c r="N125">
        <f t="shared" si="5"/>
        <v>6.6167275005898215E-3</v>
      </c>
    </row>
    <row r="126" spans="1:14" x14ac:dyDescent="0.35">
      <c r="A126" t="s">
        <v>168</v>
      </c>
      <c r="B126">
        <v>2.8466939926147398E-2</v>
      </c>
      <c r="J126">
        <f t="shared" si="3"/>
        <v>3.9872481751558627E-7</v>
      </c>
      <c r="L126">
        <f t="shared" si="4"/>
        <v>-3.2465764688880488E-3</v>
      </c>
      <c r="N126">
        <f t="shared" si="5"/>
        <v>4.8072958335484804E-4</v>
      </c>
    </row>
    <row r="127" spans="1:14" x14ac:dyDescent="0.35">
      <c r="A127" t="s">
        <v>169</v>
      </c>
      <c r="B127">
        <v>3.0955351889133401E-2</v>
      </c>
      <c r="J127">
        <f t="shared" si="3"/>
        <v>3.4483203332623079E-6</v>
      </c>
      <c r="L127">
        <f t="shared" si="4"/>
        <v>8.2570922974776181E-2</v>
      </c>
      <c r="N127">
        <f t="shared" si="5"/>
        <v>3.5955846596525565E-2</v>
      </c>
    </row>
    <row r="128" spans="1:14" x14ac:dyDescent="0.35">
      <c r="A128" t="s">
        <v>170</v>
      </c>
      <c r="B128">
        <v>2.5471029803156801E-2</v>
      </c>
      <c r="J128">
        <f t="shared" si="3"/>
        <v>1.3157716846744651E-5</v>
      </c>
      <c r="L128">
        <f t="shared" si="4"/>
        <v>-0.61544116127083925</v>
      </c>
      <c r="N128">
        <f t="shared" si="5"/>
        <v>0.52349843199121682</v>
      </c>
    </row>
    <row r="129" spans="1:14" x14ac:dyDescent="0.35">
      <c r="A129" t="s">
        <v>172</v>
      </c>
      <c r="B129">
        <v>3.4032374620437601E-2</v>
      </c>
      <c r="J129">
        <f t="shared" si="3"/>
        <v>2.434423844533587E-5</v>
      </c>
      <c r="L129">
        <f t="shared" si="4"/>
        <v>1.5488523691449296</v>
      </c>
      <c r="N129">
        <f t="shared" si="5"/>
        <v>1.7920358732761703</v>
      </c>
    </row>
    <row r="130" spans="1:14" x14ac:dyDescent="0.35">
      <c r="A130" t="s">
        <v>173</v>
      </c>
      <c r="B130">
        <v>3.5107314586639397E-2</v>
      </c>
      <c r="J130">
        <f t="shared" si="3"/>
        <v>3.6107216351816906E-5</v>
      </c>
      <c r="L130">
        <f t="shared" si="4"/>
        <v>2.7977361018380194</v>
      </c>
      <c r="N130">
        <f t="shared" si="5"/>
        <v>3.9422333656054316</v>
      </c>
    </row>
    <row r="131" spans="1:14" x14ac:dyDescent="0.35">
      <c r="A131" t="s">
        <v>174</v>
      </c>
      <c r="B131">
        <v>3.0864300206303499E-2</v>
      </c>
      <c r="J131">
        <f t="shared" ref="J131:J194" si="6">(B131-$E$4)^2</f>
        <v>3.1184511009731862E-6</v>
      </c>
      <c r="L131">
        <f t="shared" ref="L131:L194" si="7">((B131 - $E$4) / $E$7)^3</f>
        <v>7.1010756988452259E-2</v>
      </c>
      <c r="N131">
        <f t="shared" ref="N131:N194" si="8">((B131 - $E$4) / $E$7)^4</f>
        <v>2.9405745201359669E-2</v>
      </c>
    </row>
    <row r="132" spans="1:14" x14ac:dyDescent="0.35">
      <c r="A132" t="s">
        <v>175</v>
      </c>
      <c r="B132">
        <v>3.1630631536245297E-2</v>
      </c>
      <c r="J132">
        <f t="shared" si="6"/>
        <v>6.4122647556189403E-6</v>
      </c>
      <c r="L132">
        <f t="shared" si="7"/>
        <v>0.20937889479645513</v>
      </c>
      <c r="N132">
        <f t="shared" si="8"/>
        <v>0.12433036369894769</v>
      </c>
    </row>
    <row r="133" spans="1:14" x14ac:dyDescent="0.35">
      <c r="A133" t="s">
        <v>176</v>
      </c>
      <c r="B133">
        <v>3.0455660074949199E-2</v>
      </c>
      <c r="J133">
        <f t="shared" si="6"/>
        <v>1.8421914672241018E-6</v>
      </c>
      <c r="L133">
        <f t="shared" si="7"/>
        <v>3.2241696402264063E-2</v>
      </c>
      <c r="N133">
        <f t="shared" si="8"/>
        <v>1.0261807076966278E-2</v>
      </c>
    </row>
    <row r="134" spans="1:14" x14ac:dyDescent="0.35">
      <c r="A134" t="s">
        <v>177</v>
      </c>
      <c r="B134">
        <v>2.4647487327456401E-2</v>
      </c>
      <c r="J134">
        <f t="shared" si="6"/>
        <v>1.9810503739388325E-5</v>
      </c>
      <c r="L134">
        <f t="shared" si="7"/>
        <v>-1.1369961992992734</v>
      </c>
      <c r="N134">
        <f t="shared" si="8"/>
        <v>1.1867120454639024</v>
      </c>
    </row>
    <row r="135" spans="1:14" x14ac:dyDescent="0.35">
      <c r="A135" t="s">
        <v>178</v>
      </c>
      <c r="B135">
        <v>3.3227179199457099E-2</v>
      </c>
      <c r="J135">
        <f t="shared" si="6"/>
        <v>1.7046928881217321E-5</v>
      </c>
      <c r="L135">
        <f t="shared" si="7"/>
        <v>0.90758008707295235</v>
      </c>
      <c r="N135">
        <f t="shared" si="8"/>
        <v>0.87871210955526247</v>
      </c>
    </row>
    <row r="136" spans="1:14" x14ac:dyDescent="0.35">
      <c r="A136" t="s">
        <v>179</v>
      </c>
      <c r="B136">
        <v>2.76815500110387E-2</v>
      </c>
      <c r="J136">
        <f t="shared" si="6"/>
        <v>2.0074257304344148E-6</v>
      </c>
      <c r="L136">
        <f t="shared" si="7"/>
        <v>-3.667540888231241E-2</v>
      </c>
      <c r="N136">
        <f t="shared" si="8"/>
        <v>1.2185217507691802E-2</v>
      </c>
    </row>
    <row r="137" spans="1:14" x14ac:dyDescent="0.35">
      <c r="A137" t="s">
        <v>180</v>
      </c>
      <c r="B137">
        <v>2.8827687725424701E-2</v>
      </c>
      <c r="J137">
        <f t="shared" si="6"/>
        <v>7.3277844512681891E-8</v>
      </c>
      <c r="L137">
        <f t="shared" si="7"/>
        <v>-2.5578481802247235E-4</v>
      </c>
      <c r="N137">
        <f t="shared" si="8"/>
        <v>1.6236771719580317E-5</v>
      </c>
    </row>
    <row r="138" spans="1:14" x14ac:dyDescent="0.35">
      <c r="A138" t="s">
        <v>181</v>
      </c>
      <c r="B138">
        <v>2.7356840670108701E-2</v>
      </c>
      <c r="J138">
        <f t="shared" si="6"/>
        <v>3.0329819931327688E-6</v>
      </c>
      <c r="L138">
        <f t="shared" si="7"/>
        <v>-6.8111505922977225E-2</v>
      </c>
      <c r="N138">
        <f t="shared" si="8"/>
        <v>2.7815955101073396E-2</v>
      </c>
    </row>
    <row r="139" spans="1:14" x14ac:dyDescent="0.35">
      <c r="A139" t="s">
        <v>182</v>
      </c>
      <c r="B139">
        <v>3.3171050250530201E-2</v>
      </c>
      <c r="J139">
        <f t="shared" si="6"/>
        <v>1.6586589754732974E-5</v>
      </c>
      <c r="L139">
        <f t="shared" si="7"/>
        <v>0.87106665575921205</v>
      </c>
      <c r="N139">
        <f t="shared" si="8"/>
        <v>0.8318950097947323</v>
      </c>
    </row>
    <row r="140" spans="1:14" x14ac:dyDescent="0.35">
      <c r="A140" t="s">
        <v>184</v>
      </c>
      <c r="B140">
        <v>3.2866619527339901E-2</v>
      </c>
      <c r="J140">
        <f t="shared" si="6"/>
        <v>1.4199579898379117E-5</v>
      </c>
      <c r="L140">
        <f t="shared" si="7"/>
        <v>0.68996804638447706</v>
      </c>
      <c r="N140">
        <f t="shared" si="8"/>
        <v>0.60968471094836385</v>
      </c>
    </row>
    <row r="141" spans="1:14" x14ac:dyDescent="0.35">
      <c r="A141" t="s">
        <v>185</v>
      </c>
      <c r="B141">
        <v>2.7548290789127301E-2</v>
      </c>
      <c r="J141">
        <f t="shared" si="6"/>
        <v>2.4027968156875795E-6</v>
      </c>
      <c r="L141">
        <f t="shared" si="7"/>
        <v>-4.8027646589837582E-2</v>
      </c>
      <c r="N141">
        <f t="shared" si="8"/>
        <v>1.745775556042118E-2</v>
      </c>
    </row>
    <row r="142" spans="1:14" x14ac:dyDescent="0.35">
      <c r="A142" t="s">
        <v>186</v>
      </c>
      <c r="B142">
        <v>2.1757563576102201E-2</v>
      </c>
      <c r="J142">
        <f t="shared" si="6"/>
        <v>5.3887681686958171E-5</v>
      </c>
      <c r="L142">
        <f t="shared" si="7"/>
        <v>-5.1009372947274176</v>
      </c>
      <c r="N142">
        <f t="shared" si="8"/>
        <v>8.7807843862540409</v>
      </c>
    </row>
    <row r="143" spans="1:14" x14ac:dyDescent="0.35">
      <c r="A143" t="s">
        <v>187</v>
      </c>
      <c r="B143">
        <v>2.6651514694094599E-2</v>
      </c>
      <c r="J143">
        <f t="shared" si="6"/>
        <v>5.9871817968417539E-6</v>
      </c>
      <c r="L143">
        <f t="shared" si="7"/>
        <v>-0.1889075879295439</v>
      </c>
      <c r="N143">
        <f t="shared" si="8"/>
        <v>0.10839249265372847</v>
      </c>
    </row>
    <row r="144" spans="1:14" x14ac:dyDescent="0.35">
      <c r="A144" t="s">
        <v>188</v>
      </c>
      <c r="B144">
        <v>2.4124246090650499E-2</v>
      </c>
      <c r="J144">
        <f t="shared" si="6"/>
        <v>2.4742073141870522E-5</v>
      </c>
      <c r="L144">
        <f t="shared" si="7"/>
        <v>-1.586974192432687</v>
      </c>
      <c r="N144">
        <f t="shared" si="8"/>
        <v>1.8510855289398038</v>
      </c>
    </row>
    <row r="145" spans="1:14" x14ac:dyDescent="0.35">
      <c r="A145" t="s">
        <v>189</v>
      </c>
      <c r="B145">
        <v>3.3778522163629497E-2</v>
      </c>
      <c r="J145">
        <f t="shared" si="6"/>
        <v>2.1903669519531866E-5</v>
      </c>
      <c r="L145">
        <f t="shared" si="7"/>
        <v>1.3218770178537134</v>
      </c>
      <c r="N145">
        <f t="shared" si="8"/>
        <v>1.4507349348975889</v>
      </c>
    </row>
    <row r="146" spans="1:14" x14ac:dyDescent="0.35">
      <c r="A146" t="s">
        <v>190</v>
      </c>
      <c r="B146">
        <v>3.2988011837005601E-2</v>
      </c>
      <c r="J146">
        <f t="shared" si="6"/>
        <v>1.5129185004267574E-5</v>
      </c>
      <c r="L146">
        <f t="shared" si="7"/>
        <v>0.75882046492942068</v>
      </c>
      <c r="N146">
        <f t="shared" si="8"/>
        <v>0.69212634430868469</v>
      </c>
    </row>
    <row r="147" spans="1:14" x14ac:dyDescent="0.35">
      <c r="A147" t="s">
        <v>191</v>
      </c>
      <c r="B147">
        <v>3.2194729894399601E-2</v>
      </c>
      <c r="J147">
        <f t="shared" si="6"/>
        <v>9.5873422106540129E-6</v>
      </c>
      <c r="L147">
        <f t="shared" si="7"/>
        <v>0.38279219905084827</v>
      </c>
      <c r="N147">
        <f t="shared" si="8"/>
        <v>0.27793981977514415</v>
      </c>
    </row>
    <row r="148" spans="1:14" x14ac:dyDescent="0.35">
      <c r="A148" t="s">
        <v>193</v>
      </c>
      <c r="B148">
        <v>2.9067786410450901E-2</v>
      </c>
      <c r="J148">
        <f t="shared" si="6"/>
        <v>9.3636751019280817E-10</v>
      </c>
      <c r="L148">
        <f t="shared" si="7"/>
        <v>-3.6947515417854236E-7</v>
      </c>
      <c r="N148">
        <f t="shared" si="8"/>
        <v>2.6512274361282541E-9</v>
      </c>
    </row>
    <row r="149" spans="1:14" x14ac:dyDescent="0.35">
      <c r="A149" t="s">
        <v>194</v>
      </c>
      <c r="B149">
        <v>2.6578823104500701E-2</v>
      </c>
      <c r="J149">
        <f t="shared" si="6"/>
        <v>6.3481998710687618E-6</v>
      </c>
      <c r="L149">
        <f t="shared" si="7"/>
        <v>-0.2062488912359908</v>
      </c>
      <c r="N149">
        <f t="shared" si="8"/>
        <v>0.12185840705877364</v>
      </c>
    </row>
    <row r="150" spans="1:14" x14ac:dyDescent="0.35">
      <c r="A150" t="s">
        <v>195</v>
      </c>
      <c r="B150">
        <v>2.7911582961678501E-2</v>
      </c>
      <c r="J150">
        <f t="shared" si="6"/>
        <v>1.4085027172960121E-6</v>
      </c>
      <c r="L150">
        <f t="shared" si="7"/>
        <v>-2.1555210501277539E-2</v>
      </c>
      <c r="N150">
        <f t="shared" si="8"/>
        <v>5.9988733238742426E-3</v>
      </c>
    </row>
    <row r="151" spans="1:14" x14ac:dyDescent="0.35">
      <c r="A151" t="s">
        <v>196</v>
      </c>
      <c r="B151">
        <v>2.7495145797729399E-2</v>
      </c>
      <c r="J151">
        <f t="shared" si="6"/>
        <v>2.5703808557640111E-6</v>
      </c>
      <c r="L151">
        <f t="shared" si="7"/>
        <v>-5.3138825540592211E-2</v>
      </c>
      <c r="N151">
        <f t="shared" si="8"/>
        <v>1.9977873953297351E-2</v>
      </c>
    </row>
    <row r="152" spans="1:14" x14ac:dyDescent="0.35">
      <c r="A152" t="s">
        <v>197</v>
      </c>
      <c r="B152">
        <v>3.0803412199020299E-2</v>
      </c>
      <c r="J152">
        <f t="shared" si="6"/>
        <v>2.9071125212211341E-6</v>
      </c>
      <c r="L152">
        <f t="shared" si="7"/>
        <v>6.3915839446956599E-2</v>
      </c>
      <c r="N152">
        <f t="shared" si="8"/>
        <v>2.5555124212084696E-2</v>
      </c>
    </row>
    <row r="153" spans="1:14" x14ac:dyDescent="0.35">
      <c r="A153" t="s">
        <v>198</v>
      </c>
      <c r="B153">
        <v>3.3583529293537098E-2</v>
      </c>
      <c r="J153">
        <f t="shared" si="6"/>
        <v>2.011650558090727E-5</v>
      </c>
      <c r="L153">
        <f t="shared" si="7"/>
        <v>1.1634414911105975</v>
      </c>
      <c r="N153">
        <f t="shared" si="8"/>
        <v>1.2236561491190305</v>
      </c>
    </row>
    <row r="154" spans="1:14" x14ac:dyDescent="0.35">
      <c r="A154" t="s">
        <v>199</v>
      </c>
      <c r="B154">
        <v>2.9080655425786899E-2</v>
      </c>
      <c r="J154">
        <f t="shared" si="6"/>
        <v>3.1439216889712437E-10</v>
      </c>
      <c r="L154">
        <f t="shared" si="7"/>
        <v>-7.1882523387838956E-8</v>
      </c>
      <c r="N154">
        <f t="shared" si="8"/>
        <v>2.9888061791766543E-10</v>
      </c>
    </row>
    <row r="155" spans="1:14" x14ac:dyDescent="0.35">
      <c r="A155" t="s">
        <v>200</v>
      </c>
      <c r="B155">
        <v>2.55302749574184E-2</v>
      </c>
      <c r="J155">
        <f t="shared" si="6"/>
        <v>1.2731420216985614E-5</v>
      </c>
      <c r="L155">
        <f t="shared" si="7"/>
        <v>-0.58577524437541195</v>
      </c>
      <c r="N155">
        <f t="shared" si="8"/>
        <v>0.49012631273920809</v>
      </c>
    </row>
    <row r="156" spans="1:14" x14ac:dyDescent="0.35">
      <c r="A156" t="s">
        <v>201</v>
      </c>
      <c r="B156">
        <v>3.11086233705282E-2</v>
      </c>
      <c r="J156">
        <f t="shared" si="6"/>
        <v>4.0410521422870836E-6</v>
      </c>
      <c r="L156">
        <f t="shared" si="7"/>
        <v>0.10475081629848712</v>
      </c>
      <c r="N156">
        <f t="shared" si="8"/>
        <v>4.9379105829408576E-2</v>
      </c>
    </row>
    <row r="157" spans="1:14" x14ac:dyDescent="0.35">
      <c r="A157" t="s">
        <v>202</v>
      </c>
      <c r="B157">
        <v>2.30365693569183E-2</v>
      </c>
      <c r="J157">
        <f t="shared" si="6"/>
        <v>3.6745627478254341E-5</v>
      </c>
      <c r="L157">
        <f t="shared" si="7"/>
        <v>-2.872263216602863</v>
      </c>
      <c r="N157">
        <f t="shared" si="8"/>
        <v>4.0828709082964476</v>
      </c>
    </row>
    <row r="158" spans="1:14" x14ac:dyDescent="0.35">
      <c r="A158" t="s">
        <v>203</v>
      </c>
      <c r="B158">
        <v>2.6376491412520402E-2</v>
      </c>
      <c r="J158">
        <f t="shared" si="6"/>
        <v>7.408713047795532E-6</v>
      </c>
      <c r="L158">
        <f t="shared" si="7"/>
        <v>-0.26003385583920641</v>
      </c>
      <c r="N158">
        <f t="shared" si="8"/>
        <v>0.16597392373418665</v>
      </c>
    </row>
    <row r="159" spans="1:14" x14ac:dyDescent="0.35">
      <c r="A159" t="s">
        <v>204</v>
      </c>
      <c r="B159">
        <v>2.5280892848968499E-2</v>
      </c>
      <c r="J159">
        <f t="shared" si="6"/>
        <v>1.4573258028889516E-5</v>
      </c>
      <c r="L159">
        <f t="shared" si="7"/>
        <v>-0.71738239775665102</v>
      </c>
      <c r="N159">
        <f t="shared" si="8"/>
        <v>0.64219603776414003</v>
      </c>
    </row>
    <row r="160" spans="1:14" x14ac:dyDescent="0.35">
      <c r="A160" t="s">
        <v>206</v>
      </c>
      <c r="B160">
        <v>2.8444470837712201E-2</v>
      </c>
      <c r="J160">
        <f t="shared" si="6"/>
        <v>4.2760573676111749E-7</v>
      </c>
      <c r="L160">
        <f t="shared" si="7"/>
        <v>-3.605628843514438E-3</v>
      </c>
      <c r="N160">
        <f t="shared" si="8"/>
        <v>5.5289334053573128E-4</v>
      </c>
    </row>
    <row r="161" spans="1:14" x14ac:dyDescent="0.35">
      <c r="A161" t="s">
        <v>207</v>
      </c>
      <c r="B161">
        <v>1.9385209307074502E-2</v>
      </c>
      <c r="J161">
        <f t="shared" si="6"/>
        <v>9.4345811825466869E-5</v>
      </c>
      <c r="L161">
        <f t="shared" si="7"/>
        <v>-11.816794239021672</v>
      </c>
      <c r="N161">
        <f t="shared" si="8"/>
        <v>26.915321051572565</v>
      </c>
    </row>
    <row r="162" spans="1:14" x14ac:dyDescent="0.35">
      <c r="A162" t="s">
        <v>209</v>
      </c>
      <c r="B162">
        <v>3.1868312507867799E-2</v>
      </c>
      <c r="J162">
        <f t="shared" si="6"/>
        <v>7.6724899053264744E-6</v>
      </c>
      <c r="L162">
        <f t="shared" si="7"/>
        <v>0.27404395283548239</v>
      </c>
      <c r="N162">
        <f t="shared" si="8"/>
        <v>0.1780028534500207</v>
      </c>
    </row>
    <row r="163" spans="1:14" x14ac:dyDescent="0.35">
      <c r="A163" t="s">
        <v>210</v>
      </c>
      <c r="B163">
        <v>2.7163043618202199E-2</v>
      </c>
      <c r="J163">
        <f t="shared" si="6"/>
        <v>3.7455521985014467E-6</v>
      </c>
      <c r="L163">
        <f t="shared" si="7"/>
        <v>-9.347371754997845E-2</v>
      </c>
      <c r="N163">
        <f t="shared" si="8"/>
        <v>4.2421499967161699E-2</v>
      </c>
    </row>
    <row r="164" spans="1:14" x14ac:dyDescent="0.35">
      <c r="A164" t="s">
        <v>211</v>
      </c>
      <c r="B164">
        <v>2.5620257481932598E-2</v>
      </c>
      <c r="J164">
        <f t="shared" si="6"/>
        <v>1.2097381697035317E-5</v>
      </c>
      <c r="L164">
        <f t="shared" si="7"/>
        <v>-0.5425662937325757</v>
      </c>
      <c r="N164">
        <f t="shared" si="8"/>
        <v>0.44252425573937165</v>
      </c>
    </row>
    <row r="165" spans="1:14" x14ac:dyDescent="0.35">
      <c r="A165" t="s">
        <v>212</v>
      </c>
      <c r="B165">
        <v>2.4597344920039101E-2</v>
      </c>
      <c r="J165">
        <f t="shared" si="6"/>
        <v>2.025937560310201E-5</v>
      </c>
      <c r="L165">
        <f t="shared" si="7"/>
        <v>-1.1758578394547974</v>
      </c>
      <c r="N165">
        <f t="shared" si="8"/>
        <v>1.2410989988247652</v>
      </c>
    </row>
    <row r="166" spans="1:14" x14ac:dyDescent="0.35">
      <c r="A166" t="s">
        <v>214</v>
      </c>
      <c r="B166">
        <v>3.2318759709596599E-2</v>
      </c>
      <c r="J166">
        <f t="shared" si="6"/>
        <v>1.0370803395472269E-5</v>
      </c>
      <c r="L166">
        <f t="shared" si="7"/>
        <v>0.43065980205058574</v>
      </c>
      <c r="N166">
        <f t="shared" si="8"/>
        <v>0.32522140018033868</v>
      </c>
    </row>
    <row r="167" spans="1:14" x14ac:dyDescent="0.35">
      <c r="A167" t="s">
        <v>215</v>
      </c>
      <c r="B167">
        <v>3.2010961323976503E-2</v>
      </c>
      <c r="J167">
        <f t="shared" si="6"/>
        <v>8.4830919120635432E-6</v>
      </c>
      <c r="L167">
        <f t="shared" si="7"/>
        <v>0.31860089640261247</v>
      </c>
      <c r="N167">
        <f t="shared" si="8"/>
        <v>0.21760188734224059</v>
      </c>
    </row>
    <row r="168" spans="1:14" x14ac:dyDescent="0.35">
      <c r="A168" t="s">
        <v>216</v>
      </c>
      <c r="B168">
        <v>2.57071256637573E-2</v>
      </c>
      <c r="J168">
        <f t="shared" si="6"/>
        <v>1.1500650284384168E-5</v>
      </c>
      <c r="L168">
        <f t="shared" si="7"/>
        <v>-0.50292049097174152</v>
      </c>
      <c r="N168">
        <f t="shared" si="8"/>
        <v>0.39994392813854729</v>
      </c>
    </row>
    <row r="169" spans="1:14" x14ac:dyDescent="0.35">
      <c r="A169" t="s">
        <v>217</v>
      </c>
      <c r="B169">
        <v>2.87140551954507E-2</v>
      </c>
      <c r="J169">
        <f t="shared" si="6"/>
        <v>1.4771057715020405E-7</v>
      </c>
      <c r="L169">
        <f t="shared" si="7"/>
        <v>-7.3203715960796015E-4</v>
      </c>
      <c r="N169">
        <f t="shared" si="8"/>
        <v>6.5974711987335993E-5</v>
      </c>
    </row>
    <row r="170" spans="1:14" x14ac:dyDescent="0.35">
      <c r="A170" t="s">
        <v>218</v>
      </c>
      <c r="B170">
        <v>2.6942186057567499E-2</v>
      </c>
      <c r="J170">
        <f t="shared" si="6"/>
        <v>4.6492004909721636E-6</v>
      </c>
      <c r="L170">
        <f t="shared" si="7"/>
        <v>-0.129265653808742</v>
      </c>
      <c r="N170">
        <f t="shared" si="8"/>
        <v>6.5359822311309809E-2</v>
      </c>
    </row>
    <row r="171" spans="1:14" x14ac:dyDescent="0.35">
      <c r="A171" t="s">
        <v>220</v>
      </c>
      <c r="B171">
        <v>3.0544824898242898E-2</v>
      </c>
      <c r="J171">
        <f t="shared" si="6"/>
        <v>2.0921839439656848E-6</v>
      </c>
      <c r="L171">
        <f t="shared" si="7"/>
        <v>3.9022539773819372E-2</v>
      </c>
      <c r="N171">
        <f t="shared" si="8"/>
        <v>1.3235917227844719E-2</v>
      </c>
    </row>
    <row r="172" spans="1:14" x14ac:dyDescent="0.35">
      <c r="A172" t="s">
        <v>221</v>
      </c>
      <c r="B172">
        <v>3.3590383827686303E-2</v>
      </c>
      <c r="J172">
        <f t="shared" si="6"/>
        <v>2.0178039693975716E-5</v>
      </c>
      <c r="L172">
        <f t="shared" si="7"/>
        <v>1.1687838250124603</v>
      </c>
      <c r="N172">
        <f t="shared" si="8"/>
        <v>1.2311536498568643</v>
      </c>
    </row>
    <row r="173" spans="1:14" x14ac:dyDescent="0.35">
      <c r="A173" t="s">
        <v>222</v>
      </c>
      <c r="B173">
        <v>3.0857015401124899E-2</v>
      </c>
      <c r="J173">
        <f t="shared" si="6"/>
        <v>3.0927754952176121E-6</v>
      </c>
      <c r="L173">
        <f t="shared" si="7"/>
        <v>7.0135569557551139E-2</v>
      </c>
      <c r="N173">
        <f t="shared" si="8"/>
        <v>2.8923517244472442E-2</v>
      </c>
    </row>
    <row r="174" spans="1:14" x14ac:dyDescent="0.35">
      <c r="A174" t="s">
        <v>223</v>
      </c>
      <c r="B174">
        <v>2.46313586831092E-2</v>
      </c>
      <c r="J174">
        <f t="shared" si="6"/>
        <v>1.9954337813185071E-5</v>
      </c>
      <c r="L174">
        <f t="shared" si="7"/>
        <v>-1.1494013821003632</v>
      </c>
      <c r="N174">
        <f t="shared" si="8"/>
        <v>1.2040068377434343</v>
      </c>
    </row>
    <row r="175" spans="1:14" x14ac:dyDescent="0.35">
      <c r="A175" t="s">
        <v>224</v>
      </c>
      <c r="B175">
        <v>2.5048790499567899E-2</v>
      </c>
      <c r="J175">
        <f t="shared" si="6"/>
        <v>1.6399228035335284E-5</v>
      </c>
      <c r="L175">
        <f t="shared" si="7"/>
        <v>-0.8563490927743046</v>
      </c>
      <c r="N175">
        <f t="shared" si="8"/>
        <v>0.81320702673619016</v>
      </c>
    </row>
    <row r="176" spans="1:14" x14ac:dyDescent="0.35">
      <c r="A176" t="s">
        <v>225</v>
      </c>
      <c r="B176">
        <v>2.71784532815217E-2</v>
      </c>
      <c r="J176">
        <f t="shared" si="6"/>
        <v>3.6861436907703126E-6</v>
      </c>
      <c r="L176">
        <f t="shared" si="7"/>
        <v>-9.1258667988811992E-2</v>
      </c>
      <c r="N176">
        <f t="shared" si="8"/>
        <v>4.1086470394176795E-2</v>
      </c>
    </row>
    <row r="177" spans="1:14" x14ac:dyDescent="0.35">
      <c r="A177" t="s">
        <v>226</v>
      </c>
      <c r="B177">
        <v>3.07617988437414E-2</v>
      </c>
      <c r="J177">
        <f t="shared" si="6"/>
        <v>2.7669405149730464E-6</v>
      </c>
      <c r="L177">
        <f t="shared" si="7"/>
        <v>5.9349281891927966E-2</v>
      </c>
      <c r="N177">
        <f t="shared" si="8"/>
        <v>2.3150157923402186E-2</v>
      </c>
    </row>
    <row r="178" spans="1:14" x14ac:dyDescent="0.35">
      <c r="A178" t="s">
        <v>227</v>
      </c>
      <c r="B178">
        <v>2.9230343177914599E-2</v>
      </c>
      <c r="J178">
        <f t="shared" si="6"/>
        <v>1.7412556093248913E-8</v>
      </c>
      <c r="L178">
        <f t="shared" si="7"/>
        <v>2.9628490607335124E-5</v>
      </c>
      <c r="N178">
        <f t="shared" si="8"/>
        <v>9.1681005942611815E-7</v>
      </c>
    </row>
    <row r="179" spans="1:14" x14ac:dyDescent="0.35">
      <c r="A179" t="s">
        <v>228</v>
      </c>
      <c r="B179">
        <v>2.9554059728979998E-2</v>
      </c>
      <c r="J179">
        <f t="shared" si="6"/>
        <v>2.0763806138313903E-7</v>
      </c>
      <c r="L179">
        <f t="shared" si="7"/>
        <v>1.2200459364446136E-3</v>
      </c>
      <c r="N179">
        <f t="shared" si="8"/>
        <v>1.3036717171346858E-4</v>
      </c>
    </row>
    <row r="180" spans="1:14" x14ac:dyDescent="0.35">
      <c r="A180" t="s">
        <v>229</v>
      </c>
      <c r="B180">
        <v>3.0485263094305898E-2</v>
      </c>
      <c r="J180">
        <f t="shared" si="6"/>
        <v>1.923426595838611E-6</v>
      </c>
      <c r="L180">
        <f t="shared" si="7"/>
        <v>3.4397680634109126E-2</v>
      </c>
      <c r="N180">
        <f t="shared" si="8"/>
        <v>1.1186791573739205E-2</v>
      </c>
    </row>
    <row r="181" spans="1:14" x14ac:dyDescent="0.35">
      <c r="A181" t="s">
        <v>230</v>
      </c>
      <c r="B181">
        <v>3.6986701190471601E-2</v>
      </c>
      <c r="J181">
        <f t="shared" si="6"/>
        <v>6.2225508132658855E-5</v>
      </c>
      <c r="L181">
        <f t="shared" si="7"/>
        <v>6.3294855430715939</v>
      </c>
      <c r="N181">
        <f t="shared" si="8"/>
        <v>11.708229220133839</v>
      </c>
    </row>
    <row r="182" spans="1:14" x14ac:dyDescent="0.35">
      <c r="A182" t="s">
        <v>231</v>
      </c>
      <c r="B182">
        <v>3.7696588784456198E-2</v>
      </c>
      <c r="J182">
        <f t="shared" si="6"/>
        <v>7.3929081954087983E-5</v>
      </c>
      <c r="L182">
        <f t="shared" si="7"/>
        <v>8.1966936636282206</v>
      </c>
      <c r="N182">
        <f t="shared" si="8"/>
        <v>16.526654167038501</v>
      </c>
    </row>
    <row r="183" spans="1:14" x14ac:dyDescent="0.35">
      <c r="A183" t="s">
        <v>232</v>
      </c>
      <c r="B183">
        <v>3.0808482319116499E-2</v>
      </c>
      <c r="J183">
        <f t="shared" si="6"/>
        <v>2.9244275971248899E-6</v>
      </c>
      <c r="L183">
        <f t="shared" si="7"/>
        <v>6.4487723346525944E-2</v>
      </c>
      <c r="N183">
        <f t="shared" si="8"/>
        <v>2.586044894106496E-2</v>
      </c>
    </row>
    <row r="184" spans="1:14" x14ac:dyDescent="0.35">
      <c r="A184" t="s">
        <v>233</v>
      </c>
      <c r="B184">
        <v>2.69742645323276E-2</v>
      </c>
      <c r="J184">
        <f t="shared" si="6"/>
        <v>4.511894274446677E-6</v>
      </c>
      <c r="L184">
        <f t="shared" si="7"/>
        <v>-0.1235816832618825</v>
      </c>
      <c r="N184">
        <f t="shared" si="8"/>
        <v>6.1556248146770513E-2</v>
      </c>
    </row>
    <row r="185" spans="1:14" x14ac:dyDescent="0.35">
      <c r="A185" t="s">
        <v>234</v>
      </c>
      <c r="B185">
        <v>2.80641950666904E-2</v>
      </c>
      <c r="J185">
        <f t="shared" si="6"/>
        <v>1.0695519893314145E-6</v>
      </c>
      <c r="L185">
        <f t="shared" si="7"/>
        <v>-1.4263252955393024E-2</v>
      </c>
      <c r="N185">
        <f t="shared" si="8"/>
        <v>3.4590601375368256E-3</v>
      </c>
    </row>
    <row r="186" spans="1:14" x14ac:dyDescent="0.35">
      <c r="A186" t="s">
        <v>236</v>
      </c>
      <c r="B186">
        <v>3.19150052964687E-2</v>
      </c>
      <c r="J186">
        <f t="shared" si="6"/>
        <v>7.9333412577875737E-6</v>
      </c>
      <c r="L186">
        <f t="shared" si="7"/>
        <v>0.28813760291849616</v>
      </c>
      <c r="N186">
        <f t="shared" si="8"/>
        <v>0.19031218047050197</v>
      </c>
    </row>
    <row r="187" spans="1:14" x14ac:dyDescent="0.35">
      <c r="A187" t="s">
        <v>237</v>
      </c>
      <c r="B187">
        <v>3.6681327968835803E-2</v>
      </c>
      <c r="J187">
        <f t="shared" si="6"/>
        <v>5.7501000816794627E-5</v>
      </c>
      <c r="L187">
        <f t="shared" si="7"/>
        <v>5.6224919233810491</v>
      </c>
      <c r="N187">
        <f t="shared" si="8"/>
        <v>9.9978155535978868</v>
      </c>
    </row>
    <row r="188" spans="1:14" x14ac:dyDescent="0.35">
      <c r="A188" t="s">
        <v>238</v>
      </c>
      <c r="B188">
        <v>3.6226224154233898E-2</v>
      </c>
      <c r="J188">
        <f t="shared" si="6"/>
        <v>5.0806069152307688E-5</v>
      </c>
      <c r="L188">
        <f t="shared" si="7"/>
        <v>4.6697015749196478</v>
      </c>
      <c r="N188">
        <f t="shared" si="8"/>
        <v>7.805226364689692</v>
      </c>
    </row>
    <row r="189" spans="1:14" x14ac:dyDescent="0.35">
      <c r="A189" t="s">
        <v>239</v>
      </c>
      <c r="B189">
        <v>3.3034965395927401E-2</v>
      </c>
      <c r="J189">
        <f t="shared" si="6"/>
        <v>1.5496653142738091E-5</v>
      </c>
      <c r="L189">
        <f t="shared" si="7"/>
        <v>0.78663380023060336</v>
      </c>
      <c r="N189">
        <f t="shared" si="8"/>
        <v>0.72615634713544741</v>
      </c>
    </row>
    <row r="190" spans="1:14" x14ac:dyDescent="0.35">
      <c r="A190" t="s">
        <v>240</v>
      </c>
      <c r="B190">
        <v>2.7767194435000399E-2</v>
      </c>
      <c r="J190">
        <f t="shared" si="6"/>
        <v>1.7720724022191304E-6</v>
      </c>
      <c r="L190">
        <f t="shared" si="7"/>
        <v>-3.0418509345795763E-2</v>
      </c>
      <c r="N190">
        <f t="shared" si="8"/>
        <v>9.4954868559139621E-3</v>
      </c>
    </row>
    <row r="191" spans="1:14" x14ac:dyDescent="0.35">
      <c r="A191" t="s">
        <v>241</v>
      </c>
      <c r="B191">
        <v>3.0729703605175001E-2</v>
      </c>
      <c r="J191">
        <f t="shared" si="6"/>
        <v>2.6611953894272914E-6</v>
      </c>
      <c r="L191">
        <f t="shared" si="7"/>
        <v>5.5979740145522816E-2</v>
      </c>
      <c r="N191">
        <f t="shared" si="8"/>
        <v>2.1414495014960132E-2</v>
      </c>
    </row>
    <row r="192" spans="1:14" x14ac:dyDescent="0.35">
      <c r="A192" t="s">
        <v>242</v>
      </c>
      <c r="B192">
        <v>2.2557068616151799E-2</v>
      </c>
      <c r="J192">
        <f t="shared" si="6"/>
        <v>4.2788840091453926E-5</v>
      </c>
      <c r="L192">
        <f t="shared" si="7"/>
        <v>-3.6092046272852247</v>
      </c>
      <c r="N192">
        <f t="shared" si="8"/>
        <v>5.5362455047625296</v>
      </c>
    </row>
    <row r="193" spans="1:14" x14ac:dyDescent="0.35">
      <c r="A193" t="s">
        <v>243</v>
      </c>
      <c r="B193">
        <v>3.1304094940423903E-2</v>
      </c>
      <c r="J193">
        <f t="shared" si="6"/>
        <v>4.8651495778472099E-6</v>
      </c>
      <c r="L193">
        <f t="shared" si="7"/>
        <v>0.13837576353917008</v>
      </c>
      <c r="N193">
        <f t="shared" si="8"/>
        <v>7.1572585665964306E-2</v>
      </c>
    </row>
    <row r="194" spans="1:14" x14ac:dyDescent="0.35">
      <c r="A194" t="s">
        <v>244</v>
      </c>
      <c r="B194">
        <v>2.6592157781124101E-2</v>
      </c>
      <c r="J194">
        <f t="shared" si="6"/>
        <v>6.2811825575626139E-6</v>
      </c>
      <c r="L194">
        <f t="shared" si="7"/>
        <v>-0.20299150274253655</v>
      </c>
      <c r="N194">
        <f t="shared" si="8"/>
        <v>0.11929909382945049</v>
      </c>
    </row>
    <row r="195" spans="1:14" x14ac:dyDescent="0.35">
      <c r="A195" t="s">
        <v>246</v>
      </c>
      <c r="B195">
        <v>2.90848389267921E-2</v>
      </c>
      <c r="J195">
        <f t="shared" ref="J195:J210" si="9">(B195-$E$4)^2</f>
        <v>1.8353763846819693E-10</v>
      </c>
      <c r="L195">
        <f t="shared" ref="L195:L210" si="10">((B195 - $E$4) / $E$7)^3</f>
        <v>-3.206294749270419E-8</v>
      </c>
      <c r="N195">
        <f t="shared" ref="N195:N210" si="11">((B195 - $E$4) / $E$7)^4</f>
        <v>1.0186021575718876E-10</v>
      </c>
    </row>
    <row r="196" spans="1:14" x14ac:dyDescent="0.35">
      <c r="A196" t="s">
        <v>247</v>
      </c>
      <c r="B196">
        <v>3.0551239848136898E-2</v>
      </c>
      <c r="J196">
        <f t="shared" si="9"/>
        <v>2.1107827548212794E-6</v>
      </c>
      <c r="L196">
        <f t="shared" si="10"/>
        <v>3.9544040351458774E-2</v>
      </c>
      <c r="N196">
        <f t="shared" si="11"/>
        <v>1.3472288906596842E-2</v>
      </c>
    </row>
    <row r="197" spans="1:14" x14ac:dyDescent="0.35">
      <c r="A197" t="s">
        <v>248</v>
      </c>
      <c r="B197">
        <v>2.5487089529633501E-2</v>
      </c>
      <c r="J197">
        <f t="shared" si="9"/>
        <v>1.3041466047724417E-5</v>
      </c>
      <c r="L197">
        <f t="shared" si="10"/>
        <v>-0.60730290316380908</v>
      </c>
      <c r="N197">
        <f t="shared" si="11"/>
        <v>0.51428889055781724</v>
      </c>
    </row>
    <row r="198" spans="1:14" x14ac:dyDescent="0.35">
      <c r="A198" t="s">
        <v>249</v>
      </c>
      <c r="B198">
        <v>4.2215511202812098E-2</v>
      </c>
      <c r="J198">
        <f t="shared" si="9"/>
        <v>1.7205895959903239E-4</v>
      </c>
      <c r="L198">
        <f t="shared" si="10"/>
        <v>29.102592172082296</v>
      </c>
      <c r="N198">
        <f t="shared" si="11"/>
        <v>89.517696415765059</v>
      </c>
    </row>
    <row r="199" spans="1:14" x14ac:dyDescent="0.35">
      <c r="A199" t="s">
        <v>250</v>
      </c>
      <c r="B199">
        <v>2.9853377491235698E-2</v>
      </c>
      <c r="J199">
        <f t="shared" si="9"/>
        <v>5.7001134676666373E-7</v>
      </c>
      <c r="L199">
        <f t="shared" si="10"/>
        <v>5.5493355506820987E-3</v>
      </c>
      <c r="N199">
        <f t="shared" si="11"/>
        <v>9.8247456232610614E-4</v>
      </c>
    </row>
    <row r="200" spans="1:14" x14ac:dyDescent="0.35">
      <c r="A200" t="s">
        <v>251</v>
      </c>
      <c r="B200">
        <v>2.61958520859479E-2</v>
      </c>
      <c r="J200">
        <f t="shared" si="9"/>
        <v>8.4247062172889763E-6</v>
      </c>
      <c r="L200">
        <f t="shared" si="10"/>
        <v>-0.31531736057310039</v>
      </c>
      <c r="N200">
        <f t="shared" si="11"/>
        <v>0.21461686339665784</v>
      </c>
    </row>
    <row r="201" spans="1:14" x14ac:dyDescent="0.35">
      <c r="A201" t="s">
        <v>252</v>
      </c>
      <c r="B201">
        <v>2.9685575515031801E-2</v>
      </c>
      <c r="J201">
        <f t="shared" si="9"/>
        <v>3.4479090042433332E-7</v>
      </c>
      <c r="L201">
        <f t="shared" si="10"/>
        <v>2.6106546678516178E-3</v>
      </c>
      <c r="N201">
        <f t="shared" si="11"/>
        <v>3.5947269202552646E-4</v>
      </c>
    </row>
    <row r="202" spans="1:14" x14ac:dyDescent="0.35">
      <c r="A202" t="s">
        <v>253</v>
      </c>
      <c r="B202">
        <v>3.7517581135034499E-2</v>
      </c>
      <c r="J202">
        <f t="shared" si="9"/>
        <v>7.088283774412791E-5</v>
      </c>
      <c r="L202">
        <f t="shared" si="10"/>
        <v>7.6953323035841157</v>
      </c>
      <c r="N202">
        <f t="shared" si="11"/>
        <v>15.19275395872314</v>
      </c>
    </row>
    <row r="203" spans="1:14" x14ac:dyDescent="0.35">
      <c r="A203" t="s">
        <v>254</v>
      </c>
      <c r="B203">
        <v>3.7172019481658901E-2</v>
      </c>
      <c r="J203">
        <f t="shared" si="9"/>
        <v>6.518354898698657E-5</v>
      </c>
      <c r="L203">
        <f t="shared" si="10"/>
        <v>6.7861388001057588</v>
      </c>
      <c r="N203">
        <f t="shared" si="11"/>
        <v>12.847845861597381</v>
      </c>
    </row>
    <row r="204" spans="1:14" x14ac:dyDescent="0.35">
      <c r="A204" t="s">
        <v>255</v>
      </c>
      <c r="B204">
        <v>2.2956971079111099E-2</v>
      </c>
      <c r="J204">
        <f t="shared" si="9"/>
        <v>3.7716983779307105E-5</v>
      </c>
      <c r="L204">
        <f t="shared" si="10"/>
        <v>-2.9869033305803172</v>
      </c>
      <c r="N204">
        <f t="shared" si="11"/>
        <v>4.3015821652825066</v>
      </c>
    </row>
    <row r="205" spans="1:14" x14ac:dyDescent="0.35">
      <c r="A205" t="s">
        <v>256</v>
      </c>
      <c r="B205">
        <v>2.9847307130694299E-2</v>
      </c>
      <c r="J205">
        <f t="shared" si="9"/>
        <v>5.6088206140181003E-7</v>
      </c>
      <c r="L205">
        <f t="shared" si="10"/>
        <v>5.4165537862134062E-3</v>
      </c>
      <c r="N205">
        <f t="shared" si="11"/>
        <v>9.512560094220707E-4</v>
      </c>
    </row>
    <row r="206" spans="1:14" x14ac:dyDescent="0.35">
      <c r="A206" t="s">
        <v>257</v>
      </c>
      <c r="B206">
        <v>2.9496474191546398E-2</v>
      </c>
      <c r="J206">
        <f t="shared" si="9"/>
        <v>1.5847378375461101E-7</v>
      </c>
      <c r="L206">
        <f t="shared" si="10"/>
        <v>8.1348935757397057E-4</v>
      </c>
      <c r="N206">
        <f t="shared" si="11"/>
        <v>7.5939750786639191E-5</v>
      </c>
    </row>
    <row r="207" spans="1:14" x14ac:dyDescent="0.35">
      <c r="A207" t="s">
        <v>258</v>
      </c>
      <c r="B207">
        <v>2.40643490105867E-2</v>
      </c>
      <c r="J207">
        <f t="shared" si="9"/>
        <v>2.534153377873858E-5</v>
      </c>
      <c r="L207">
        <f t="shared" si="10"/>
        <v>-1.6449968842986391</v>
      </c>
      <c r="N207">
        <f t="shared" si="11"/>
        <v>1.9418697939651082</v>
      </c>
    </row>
    <row r="208" spans="1:14" x14ac:dyDescent="0.35">
      <c r="A208" t="s">
        <v>259</v>
      </c>
      <c r="B208">
        <v>2.6532262563705399E-2</v>
      </c>
      <c r="J208">
        <f t="shared" si="9"/>
        <v>6.5849922266413768E-6</v>
      </c>
      <c r="L208">
        <f t="shared" si="10"/>
        <v>-0.21789568731210182</v>
      </c>
      <c r="N208">
        <f t="shared" si="11"/>
        <v>0.13111876382946769</v>
      </c>
    </row>
    <row r="209" spans="1:14" x14ac:dyDescent="0.35">
      <c r="A209" t="s">
        <v>260</v>
      </c>
      <c r="B209">
        <v>2.5850899517536101E-2</v>
      </c>
      <c r="J209">
        <f t="shared" si="9"/>
        <v>1.054617191668624E-5</v>
      </c>
      <c r="L209">
        <f t="shared" si="10"/>
        <v>-0.44162942766359464</v>
      </c>
      <c r="N209">
        <f t="shared" si="11"/>
        <v>0.33631327185638071</v>
      </c>
    </row>
    <row r="210" spans="1:14" x14ac:dyDescent="0.35">
      <c r="A210" t="s">
        <v>262</v>
      </c>
      <c r="B210">
        <v>3.1792171299457501E-2</v>
      </c>
      <c r="J210">
        <f t="shared" si="9"/>
        <v>7.2564763671029554E-6</v>
      </c>
      <c r="L210">
        <f t="shared" si="10"/>
        <v>0.25206027887901444</v>
      </c>
      <c r="N210">
        <f t="shared" si="11"/>
        <v>0.15922302962817675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88"/>
  <sheetViews>
    <sheetView workbookViewId="0">
      <selection activeCell="H7" sqref="H7"/>
    </sheetView>
  </sheetViews>
  <sheetFormatPr defaultRowHeight="14.5" x14ac:dyDescent="0.35"/>
  <cols>
    <col min="1" max="1" width="10.08984375" bestFit="1" customWidth="1"/>
    <col min="2" max="2" width="12.453125" bestFit="1" customWidth="1"/>
    <col min="4" max="4" width="18.1796875" bestFit="1" customWidth="1"/>
    <col min="5" max="5" width="12.453125" bestFit="1" customWidth="1"/>
    <col min="6" max="6" width="15.36328125" bestFit="1" customWidth="1"/>
    <col min="10" max="10" width="14.54296875" bestFit="1" customWidth="1"/>
    <col min="11" max="11" width="20.81640625" bestFit="1" customWidth="1"/>
    <col min="12" max="12" width="14.54296875" bestFit="1" customWidth="1"/>
    <col min="13" max="13" width="20.81640625" bestFit="1" customWidth="1"/>
    <col min="14" max="14" width="14.54296875" bestFit="1" customWidth="1"/>
    <col min="15" max="15" width="20.81640625" bestFit="1" customWidth="1"/>
  </cols>
  <sheetData>
    <row r="1" spans="1:15" x14ac:dyDescent="0.35">
      <c r="A1" s="1" t="s">
        <v>0</v>
      </c>
      <c r="B1" s="1" t="s">
        <v>3</v>
      </c>
      <c r="J1" t="s">
        <v>271</v>
      </c>
      <c r="K1" t="s">
        <v>272</v>
      </c>
      <c r="L1" t="s">
        <v>273</v>
      </c>
      <c r="M1" t="s">
        <v>274</v>
      </c>
      <c r="N1" t="s">
        <v>277</v>
      </c>
      <c r="O1" t="s">
        <v>278</v>
      </c>
    </row>
    <row r="2" spans="1:15" x14ac:dyDescent="0.35">
      <c r="A2" t="s">
        <v>5</v>
      </c>
      <c r="B2">
        <v>9.6467032562941326E-5</v>
      </c>
      <c r="D2" t="s">
        <v>263</v>
      </c>
      <c r="E2">
        <f>MIN(B2:B188)</f>
        <v>-1.0082445669468141E-6</v>
      </c>
      <c r="F2" t="s">
        <v>266</v>
      </c>
      <c r="G2">
        <f>COUNT(B2:B188)</f>
        <v>187</v>
      </c>
      <c r="J2">
        <f>(B2-$E$4)^2</f>
        <v>5.4988527334305228E-10</v>
      </c>
      <c r="K2">
        <f>SUM(J2:J188)</f>
        <v>7.4369087704680896E-7</v>
      </c>
      <c r="L2">
        <f>((B2 - $E$4) / $E$7)^3</f>
        <v>5.1002195148073456E-2</v>
      </c>
      <c r="M2">
        <f>SUM(L2:L188)</f>
        <v>952.94029012024191</v>
      </c>
      <c r="N2">
        <f>((B2 - $E$4) / $E$7)^4</f>
        <v>1.8914077238039003E-2</v>
      </c>
      <c r="O2">
        <f>SUM(N2:N188)</f>
        <v>7266.6023390266155</v>
      </c>
    </row>
    <row r="3" spans="1:15" x14ac:dyDescent="0.35">
      <c r="A3" t="s">
        <v>6</v>
      </c>
      <c r="B3">
        <v>4.6442881284747273E-5</v>
      </c>
      <c r="D3" t="s">
        <v>264</v>
      </c>
      <c r="E3">
        <f>MAX(B2:B188)</f>
        <v>6.3134444644669997E-4</v>
      </c>
      <c r="F3" t="s">
        <v>267</v>
      </c>
      <c r="G3">
        <f>SUM(B2:B188)</f>
        <v>1.3654253776052085E-2</v>
      </c>
      <c r="J3">
        <f t="shared" ref="J3:J66" si="0">(B3-$E$4)^2</f>
        <v>7.0620503814085431E-10</v>
      </c>
      <c r="L3">
        <f t="shared" ref="L3:L66" si="1">((B3 - $E$4) / $E$7)^3</f>
        <v>-7.4229571353095769E-2</v>
      </c>
      <c r="N3">
        <f t="shared" ref="N3:N66" si="2">((B3 - $E$4) / $E$7)^4</f>
        <v>3.1196265195758417E-2</v>
      </c>
    </row>
    <row r="4" spans="1:15" x14ac:dyDescent="0.35">
      <c r="A4" t="s">
        <v>7</v>
      </c>
      <c r="B4">
        <v>6.822789873695001E-5</v>
      </c>
      <c r="D4" t="s">
        <v>265</v>
      </c>
      <c r="E4">
        <f>G3/G2</f>
        <v>7.3017399871936286E-5</v>
      </c>
      <c r="J4">
        <f t="shared" si="0"/>
        <v>2.2939321122034821E-11</v>
      </c>
      <c r="L4">
        <f t="shared" si="1"/>
        <v>-4.3456182975949904E-4</v>
      </c>
      <c r="N4">
        <f t="shared" si="2"/>
        <v>3.291562474768824E-5</v>
      </c>
    </row>
    <row r="5" spans="1:15" x14ac:dyDescent="0.35">
      <c r="A5" t="s">
        <v>9</v>
      </c>
      <c r="B5">
        <v>6.0107740864623338E-5</v>
      </c>
      <c r="D5" t="s">
        <v>268</v>
      </c>
      <c r="E5">
        <f>MEDIAN(B2:B188)</f>
        <v>6.0423932154662907E-5</v>
      </c>
      <c r="J5">
        <f t="shared" si="0"/>
        <v>1.6665929568509633E-10</v>
      </c>
      <c r="L5">
        <f t="shared" si="1"/>
        <v>-8.5099115972410693E-3</v>
      </c>
      <c r="N5">
        <f t="shared" si="2"/>
        <v>1.7374009904335239E-3</v>
      </c>
    </row>
    <row r="6" spans="1:15" x14ac:dyDescent="0.35">
      <c r="A6" t="s">
        <v>10</v>
      </c>
      <c r="B6">
        <v>8.1563171988818794E-5</v>
      </c>
      <c r="D6" t="s">
        <v>269</v>
      </c>
      <c r="E6">
        <f>K2/(G2-1)</f>
        <v>3.9983380486387575E-9</v>
      </c>
      <c r="J6">
        <f t="shared" si="0"/>
        <v>7.3030221073686551E-11</v>
      </c>
      <c r="L6">
        <f t="shared" si="1"/>
        <v>2.4685086781908068E-3</v>
      </c>
      <c r="N6">
        <f t="shared" si="2"/>
        <v>3.3361549314886462E-4</v>
      </c>
    </row>
    <row r="7" spans="1:15" x14ac:dyDescent="0.35">
      <c r="A7" t="s">
        <v>11</v>
      </c>
      <c r="B7">
        <v>3.2386014936491847E-5</v>
      </c>
      <c r="D7" t="s">
        <v>270</v>
      </c>
      <c r="E7">
        <f>SQRT(E6)</f>
        <v>6.3232412959168008E-5</v>
      </c>
      <c r="J7">
        <f t="shared" si="0"/>
        <v>1.6509094417722612E-9</v>
      </c>
      <c r="L7">
        <f t="shared" si="1"/>
        <v>-0.26531732645464473</v>
      </c>
      <c r="N7">
        <f t="shared" si="2"/>
        <v>0.17048551394334593</v>
      </c>
    </row>
    <row r="8" spans="1:15" x14ac:dyDescent="0.35">
      <c r="A8" t="s">
        <v>12</v>
      </c>
      <c r="B8">
        <v>2.2077210815041329E-5</v>
      </c>
      <c r="D8" t="s">
        <v>275</v>
      </c>
      <c r="E8">
        <f>(G2 / ((G2 - 1)*(G2 - 2)))*M2</f>
        <v>5.1787222973695215</v>
      </c>
      <c r="J8">
        <f t="shared" si="0"/>
        <v>2.5949028611522011E-9</v>
      </c>
      <c r="L8">
        <f t="shared" si="1"/>
        <v>-0.52283227922995568</v>
      </c>
      <c r="N8">
        <f t="shared" si="2"/>
        <v>0.4211949837533398</v>
      </c>
    </row>
    <row r="9" spans="1:15" x14ac:dyDescent="0.35">
      <c r="A9" t="s">
        <v>13</v>
      </c>
      <c r="B9">
        <v>4.5435735955834389E-5</v>
      </c>
      <c r="D9" t="s">
        <v>276</v>
      </c>
      <c r="E9">
        <f>((G2 * (G2 + 1)) / ((G2 - 1) * (G2 - 2) * (G2 - 3))) * O2 - (3 * (G2 - 1)^2 / ((G2 - 2) * (G2 - 3)))</f>
        <v>37.299588060665464</v>
      </c>
      <c r="J9">
        <f t="shared" si="0"/>
        <v>7.6074818438079748E-10</v>
      </c>
      <c r="L9">
        <f t="shared" si="1"/>
        <v>-8.2993125854220806E-2</v>
      </c>
      <c r="N9">
        <f t="shared" si="2"/>
        <v>3.6201188560304222E-2</v>
      </c>
    </row>
    <row r="10" spans="1:15" x14ac:dyDescent="0.35">
      <c r="A10" t="s">
        <v>14</v>
      </c>
      <c r="B10">
        <v>2.148273415514268E-5</v>
      </c>
      <c r="J10">
        <f t="shared" si="0"/>
        <v>2.6558217705416621E-9</v>
      </c>
      <c r="L10">
        <f t="shared" si="1"/>
        <v>-0.5413512267877082</v>
      </c>
      <c r="N10">
        <f t="shared" si="2"/>
        <v>0.44120338292160188</v>
      </c>
    </row>
    <row r="11" spans="1:15" x14ac:dyDescent="0.35">
      <c r="A11" t="s">
        <v>15</v>
      </c>
      <c r="B11">
        <v>7.869069668231532E-5</v>
      </c>
      <c r="J11">
        <f t="shared" si="0"/>
        <v>3.2186296698656922E-11</v>
      </c>
      <c r="L11">
        <f t="shared" si="1"/>
        <v>7.2224950175056981E-4</v>
      </c>
      <c r="N11">
        <f t="shared" si="2"/>
        <v>6.48011929771732E-5</v>
      </c>
    </row>
    <row r="12" spans="1:15" x14ac:dyDescent="0.35">
      <c r="A12" t="s">
        <v>16</v>
      </c>
      <c r="B12">
        <v>6.0423932154662907E-5</v>
      </c>
      <c r="J12">
        <f t="shared" si="0"/>
        <v>1.5859542914600675E-10</v>
      </c>
      <c r="L12">
        <f t="shared" si="1"/>
        <v>-7.8998116171427324E-3</v>
      </c>
      <c r="N12">
        <f t="shared" si="2"/>
        <v>1.5733390189817803E-3</v>
      </c>
    </row>
    <row r="13" spans="1:15" x14ac:dyDescent="0.35">
      <c r="A13" t="s">
        <v>17</v>
      </c>
      <c r="B13">
        <v>3.9507351175416261E-5</v>
      </c>
      <c r="J13">
        <f t="shared" si="0"/>
        <v>1.1229233636431435E-9</v>
      </c>
      <c r="L13">
        <f t="shared" si="1"/>
        <v>-0.14883528801528154</v>
      </c>
      <c r="N13">
        <f t="shared" si="2"/>
        <v>7.8875334907325192E-2</v>
      </c>
    </row>
    <row r="14" spans="1:15" x14ac:dyDescent="0.35">
      <c r="A14" t="s">
        <v>19</v>
      </c>
      <c r="B14">
        <v>4.8660705942893401E-5</v>
      </c>
      <c r="J14">
        <f t="shared" si="0"/>
        <v>5.9324853915307449E-10</v>
      </c>
      <c r="L14">
        <f t="shared" si="1"/>
        <v>-5.7152568330438414E-2</v>
      </c>
      <c r="N14">
        <f t="shared" si="2"/>
        <v>2.2014779271227639E-2</v>
      </c>
    </row>
    <row r="15" spans="1:15" x14ac:dyDescent="0.35">
      <c r="A15" t="s">
        <v>21</v>
      </c>
      <c r="B15">
        <v>6.452338129747659E-5</v>
      </c>
      <c r="J15">
        <f t="shared" si="0"/>
        <v>7.2148351543266327E-11</v>
      </c>
      <c r="L15">
        <f t="shared" si="1"/>
        <v>-2.4239315663059629E-3</v>
      </c>
      <c r="N15">
        <f t="shared" si="2"/>
        <v>3.2560705473500153E-4</v>
      </c>
    </row>
    <row r="16" spans="1:15" x14ac:dyDescent="0.35">
      <c r="A16" t="s">
        <v>22</v>
      </c>
      <c r="B16">
        <v>3.931847822968848E-5</v>
      </c>
      <c r="J16">
        <f t="shared" si="0"/>
        <v>1.1356173198503576E-9</v>
      </c>
      <c r="L16">
        <f t="shared" si="1"/>
        <v>-0.15136614369001761</v>
      </c>
      <c r="N16">
        <f t="shared" si="2"/>
        <v>8.0668688363877375E-2</v>
      </c>
    </row>
    <row r="17" spans="1:14" x14ac:dyDescent="0.35">
      <c r="A17" t="s">
        <v>23</v>
      </c>
      <c r="B17">
        <v>3.7898553273407742E-5</v>
      </c>
      <c r="J17">
        <f t="shared" si="0"/>
        <v>1.2333333864109799E-9</v>
      </c>
      <c r="L17">
        <f t="shared" si="1"/>
        <v>-0.17131739712949937</v>
      </c>
      <c r="N17">
        <f t="shared" si="2"/>
        <v>9.5148502293201834E-2</v>
      </c>
    </row>
    <row r="18" spans="1:14" x14ac:dyDescent="0.35">
      <c r="A18" t="s">
        <v>24</v>
      </c>
      <c r="B18">
        <v>5.685467112925835E-5</v>
      </c>
      <c r="J18">
        <f t="shared" si="0"/>
        <v>2.6123380040938751E-10</v>
      </c>
      <c r="L18">
        <f t="shared" si="1"/>
        <v>-1.6700319819860695E-2</v>
      </c>
      <c r="N18">
        <f t="shared" si="2"/>
        <v>4.2687401370983214E-3</v>
      </c>
    </row>
    <row r="19" spans="1:14" x14ac:dyDescent="0.35">
      <c r="A19" t="s">
        <v>25</v>
      </c>
      <c r="B19">
        <v>4.7684367018518969E-5</v>
      </c>
      <c r="J19">
        <f t="shared" si="0"/>
        <v>6.4176255355232109E-10</v>
      </c>
      <c r="L19">
        <f t="shared" si="1"/>
        <v>-6.4304637505742362E-2</v>
      </c>
      <c r="N19">
        <f t="shared" si="2"/>
        <v>2.5762602094783271E-2</v>
      </c>
    </row>
    <row r="20" spans="1:14" x14ac:dyDescent="0.35">
      <c r="A20" t="s">
        <v>26</v>
      </c>
      <c r="B20">
        <v>6.7848144681192935E-5</v>
      </c>
      <c r="J20">
        <f t="shared" si="0"/>
        <v>2.672119922702708E-11</v>
      </c>
      <c r="L20">
        <f t="shared" si="1"/>
        <v>-5.4634208149646052E-4</v>
      </c>
      <c r="N20">
        <f t="shared" si="2"/>
        <v>4.4663512090244059E-5</v>
      </c>
    </row>
    <row r="21" spans="1:14" x14ac:dyDescent="0.35">
      <c r="A21" t="s">
        <v>27</v>
      </c>
      <c r="B21">
        <v>8.3990715211257339E-5</v>
      </c>
      <c r="J21">
        <f t="shared" si="0"/>
        <v>1.2041364953617871E-10</v>
      </c>
      <c r="L21">
        <f t="shared" si="1"/>
        <v>5.2262997460045925E-3</v>
      </c>
      <c r="N21">
        <f t="shared" si="2"/>
        <v>9.0696894973398023E-4</v>
      </c>
    </row>
    <row r="22" spans="1:14" x14ac:dyDescent="0.35">
      <c r="A22" t="s">
        <v>29</v>
      </c>
      <c r="B22">
        <v>6.7211811256129295E-5</v>
      </c>
      <c r="J22">
        <f t="shared" si="0"/>
        <v>3.3704859175987733E-11</v>
      </c>
      <c r="L22">
        <f t="shared" si="1"/>
        <v>-7.73961772878308E-4</v>
      </c>
      <c r="N22">
        <f t="shared" si="2"/>
        <v>7.1060132729611767E-5</v>
      </c>
    </row>
    <row r="23" spans="1:14" x14ac:dyDescent="0.35">
      <c r="A23" t="s">
        <v>30</v>
      </c>
      <c r="B23">
        <v>3.6771387385670102E-5</v>
      </c>
      <c r="J23">
        <f t="shared" si="0"/>
        <v>1.3137734211545641E-9</v>
      </c>
      <c r="L23">
        <f t="shared" si="1"/>
        <v>-0.18834818630634495</v>
      </c>
      <c r="N23">
        <f t="shared" si="2"/>
        <v>0.10796473506449586</v>
      </c>
    </row>
    <row r="24" spans="1:14" x14ac:dyDescent="0.35">
      <c r="A24" t="s">
        <v>31</v>
      </c>
      <c r="B24">
        <v>4.1204676381310001E-4</v>
      </c>
      <c r="J24">
        <f t="shared" si="0"/>
        <v>1.1494090961435006E-7</v>
      </c>
      <c r="L24">
        <f t="shared" si="1"/>
        <v>154.13195248979679</v>
      </c>
      <c r="N24">
        <f t="shared" si="2"/>
        <v>826.39986946835359</v>
      </c>
    </row>
    <row r="25" spans="1:14" x14ac:dyDescent="0.35">
      <c r="A25" t="s">
        <v>32</v>
      </c>
      <c r="B25">
        <v>6.3134444644669997E-4</v>
      </c>
      <c r="J25">
        <f t="shared" si="0"/>
        <v>3.1172909093689831E-7</v>
      </c>
      <c r="L25">
        <f t="shared" si="1"/>
        <v>688.40930982155999</v>
      </c>
      <c r="N25">
        <f t="shared" si="2"/>
        <v>6078.4891608586859</v>
      </c>
    </row>
    <row r="26" spans="1:14" x14ac:dyDescent="0.35">
      <c r="A26" t="s">
        <v>33</v>
      </c>
      <c r="B26">
        <v>6.4872438088059425E-5</v>
      </c>
      <c r="J26">
        <f t="shared" si="0"/>
        <v>6.6340402460814526E-11</v>
      </c>
      <c r="L26">
        <f t="shared" si="1"/>
        <v>-2.1372133985878726E-3</v>
      </c>
      <c r="N26">
        <f t="shared" si="2"/>
        <v>2.7529427774215451E-4</v>
      </c>
    </row>
    <row r="27" spans="1:14" x14ac:dyDescent="0.35">
      <c r="A27" t="s">
        <v>34</v>
      </c>
      <c r="B27">
        <v>4.752714085043408E-5</v>
      </c>
      <c r="J27">
        <f t="shared" si="0"/>
        <v>6.4975330498327461E-10</v>
      </c>
      <c r="L27">
        <f t="shared" si="1"/>
        <v>-6.5509378800195986E-2</v>
      </c>
      <c r="N27">
        <f t="shared" si="2"/>
        <v>2.6408149804958387E-2</v>
      </c>
    </row>
    <row r="28" spans="1:14" x14ac:dyDescent="0.35">
      <c r="A28" t="s">
        <v>35</v>
      </c>
      <c r="B28">
        <v>3.3779542718548328E-5</v>
      </c>
      <c r="J28">
        <f t="shared" si="0"/>
        <v>1.5396094339896786E-9</v>
      </c>
      <c r="L28">
        <f t="shared" si="1"/>
        <v>-0.23894424818393223</v>
      </c>
      <c r="N28">
        <f t="shared" si="2"/>
        <v>0.14827301124692321</v>
      </c>
    </row>
    <row r="29" spans="1:14" x14ac:dyDescent="0.35">
      <c r="A29" t="s">
        <v>36</v>
      </c>
      <c r="B29">
        <v>4.1814655560301617E-5</v>
      </c>
      <c r="J29">
        <f t="shared" si="0"/>
        <v>9.7361125257724963E-10</v>
      </c>
      <c r="L29">
        <f t="shared" si="1"/>
        <v>-0.12015977662791373</v>
      </c>
      <c r="N29">
        <f t="shared" si="2"/>
        <v>5.9294191241523991E-2</v>
      </c>
    </row>
    <row r="30" spans="1:14" x14ac:dyDescent="0.35">
      <c r="A30" t="s">
        <v>37</v>
      </c>
      <c r="B30">
        <v>6.9459187216125429E-5</v>
      </c>
      <c r="J30">
        <f t="shared" si="0"/>
        <v>1.2660877303972552E-11</v>
      </c>
      <c r="L30">
        <f t="shared" si="1"/>
        <v>-1.7818717210825742E-4</v>
      </c>
      <c r="N30">
        <f t="shared" si="2"/>
        <v>1.0026943797134058E-5</v>
      </c>
    </row>
    <row r="31" spans="1:14" x14ac:dyDescent="0.35">
      <c r="A31" t="s">
        <v>38</v>
      </c>
      <c r="B31">
        <v>1.136809732997E-4</v>
      </c>
      <c r="J31">
        <f t="shared" si="0"/>
        <v>1.6535262039151313E-9</v>
      </c>
      <c r="L31">
        <f t="shared" si="1"/>
        <v>0.26594838533499526</v>
      </c>
      <c r="N31">
        <f t="shared" si="2"/>
        <v>0.17102639594108368</v>
      </c>
    </row>
    <row r="32" spans="1:14" x14ac:dyDescent="0.35">
      <c r="A32" t="s">
        <v>39</v>
      </c>
      <c r="B32">
        <v>7.4463408964220434E-5</v>
      </c>
      <c r="J32">
        <f t="shared" si="0"/>
        <v>2.090942294968428E-12</v>
      </c>
      <c r="L32">
        <f t="shared" si="1"/>
        <v>1.195897083088631E-5</v>
      </c>
      <c r="N32">
        <f t="shared" si="2"/>
        <v>2.7347968781436899E-7</v>
      </c>
    </row>
    <row r="33" spans="1:14" x14ac:dyDescent="0.35">
      <c r="A33" t="s">
        <v>40</v>
      </c>
      <c r="B33">
        <v>3.1327723263530061E-5</v>
      </c>
      <c r="J33">
        <f t="shared" si="0"/>
        <v>1.7380291357134931E-9</v>
      </c>
      <c r="L33">
        <f t="shared" si="1"/>
        <v>-0.28659348540639301</v>
      </c>
      <c r="N33">
        <f t="shared" si="2"/>
        <v>0.18895356298333679</v>
      </c>
    </row>
    <row r="34" spans="1:14" x14ac:dyDescent="0.35">
      <c r="A34" t="s">
        <v>41</v>
      </c>
      <c r="B34">
        <v>5.518067700904794E-5</v>
      </c>
      <c r="J34">
        <f t="shared" si="0"/>
        <v>3.1814868248748378E-10</v>
      </c>
      <c r="L34">
        <f t="shared" si="1"/>
        <v>-2.2445326590994363E-2</v>
      </c>
      <c r="N34">
        <f t="shared" si="2"/>
        <v>6.3314216749740266E-3</v>
      </c>
    </row>
    <row r="35" spans="1:14" x14ac:dyDescent="0.35">
      <c r="A35" t="s">
        <v>42</v>
      </c>
      <c r="B35">
        <v>8.7079824879765511E-5</v>
      </c>
      <c r="J35">
        <f t="shared" si="0"/>
        <v>1.9775179710082077E-10</v>
      </c>
      <c r="L35">
        <f t="shared" si="1"/>
        <v>1.0999207465584701E-2</v>
      </c>
      <c r="N35">
        <f t="shared" si="2"/>
        <v>2.4461430916802294E-3</v>
      </c>
    </row>
    <row r="36" spans="1:14" x14ac:dyDescent="0.35">
      <c r="A36" t="s">
        <v>43</v>
      </c>
      <c r="B36">
        <v>1.493558374932E-4</v>
      </c>
      <c r="J36">
        <f t="shared" si="0"/>
        <v>5.8275570584555713E-9</v>
      </c>
      <c r="L36">
        <f t="shared" si="1"/>
        <v>1.759586158649501</v>
      </c>
      <c r="N36">
        <f t="shared" si="2"/>
        <v>2.1242911969537364</v>
      </c>
    </row>
    <row r="37" spans="1:14" x14ac:dyDescent="0.35">
      <c r="A37" t="s">
        <v>45</v>
      </c>
      <c r="B37">
        <v>1.4810053107789999E-4</v>
      </c>
      <c r="J37">
        <f t="shared" si="0"/>
        <v>5.6374765916919617E-9</v>
      </c>
      <c r="L37">
        <f t="shared" si="1"/>
        <v>1.6742020244453939</v>
      </c>
      <c r="N37">
        <f t="shared" si="2"/>
        <v>1.9879730091574472</v>
      </c>
    </row>
    <row r="38" spans="1:14" x14ac:dyDescent="0.35">
      <c r="A38" t="s">
        <v>46</v>
      </c>
      <c r="B38">
        <v>1.083911120076E-4</v>
      </c>
      <c r="J38">
        <f t="shared" si="0"/>
        <v>1.2512995102568023E-9</v>
      </c>
      <c r="L38">
        <f t="shared" si="1"/>
        <v>0.17507440024337656</v>
      </c>
      <c r="N38">
        <f t="shared" si="2"/>
        <v>9.7940773516460508E-2</v>
      </c>
    </row>
    <row r="39" spans="1:14" x14ac:dyDescent="0.35">
      <c r="A39" t="s">
        <v>49</v>
      </c>
      <c r="B39">
        <v>-1.0082445669468141E-6</v>
      </c>
      <c r="J39">
        <f t="shared" si="0"/>
        <v>5.4797960345919442E-9</v>
      </c>
      <c r="L39">
        <f t="shared" si="1"/>
        <v>-1.6044542057762483</v>
      </c>
      <c r="N39">
        <f t="shared" si="2"/>
        <v>1.8783208009467978</v>
      </c>
    </row>
    <row r="40" spans="1:14" x14ac:dyDescent="0.35">
      <c r="A40" t="s">
        <v>50</v>
      </c>
      <c r="B40">
        <v>7.6013478974346071E-5</v>
      </c>
      <c r="J40">
        <f t="shared" si="0"/>
        <v>8.9764899878966277E-12</v>
      </c>
      <c r="L40">
        <f t="shared" si="1"/>
        <v>1.0637524212322228E-4</v>
      </c>
      <c r="N40">
        <f t="shared" si="2"/>
        <v>5.0402732558216913E-6</v>
      </c>
    </row>
    <row r="41" spans="1:14" x14ac:dyDescent="0.35">
      <c r="A41" t="s">
        <v>51</v>
      </c>
      <c r="B41">
        <v>4.2828316509258002E-5</v>
      </c>
      <c r="J41">
        <f t="shared" si="0"/>
        <v>9.1138075427873879E-10</v>
      </c>
      <c r="L41">
        <f t="shared" si="1"/>
        <v>-0.10882546093843752</v>
      </c>
      <c r="N41">
        <f t="shared" si="2"/>
        <v>5.1956595652515598E-2</v>
      </c>
    </row>
    <row r="42" spans="1:14" x14ac:dyDescent="0.35">
      <c r="A42" t="s">
        <v>52</v>
      </c>
      <c r="B42">
        <v>2.0721830878756009E-5</v>
      </c>
      <c r="J42">
        <f t="shared" si="0"/>
        <v>2.7348265363204782E-9</v>
      </c>
      <c r="L42">
        <f t="shared" si="1"/>
        <v>-0.56568597734355142</v>
      </c>
      <c r="N42">
        <f t="shared" si="2"/>
        <v>0.4678434472482853</v>
      </c>
    </row>
    <row r="43" spans="1:14" x14ac:dyDescent="0.35">
      <c r="A43" t="s">
        <v>54</v>
      </c>
      <c r="B43">
        <v>7.5826188549399376E-5</v>
      </c>
      <c r="J43">
        <f t="shared" si="0"/>
        <v>7.8892938346448565E-12</v>
      </c>
      <c r="L43">
        <f t="shared" si="1"/>
        <v>8.7647177016253946E-5</v>
      </c>
      <c r="N43">
        <f t="shared" si="2"/>
        <v>3.8932943864379849E-6</v>
      </c>
    </row>
    <row r="44" spans="1:14" x14ac:dyDescent="0.35">
      <c r="A44" t="s">
        <v>55</v>
      </c>
      <c r="B44">
        <v>2.9642175650220002E-4</v>
      </c>
      <c r="J44">
        <f t="shared" si="0"/>
        <v>4.9909506561382074E-8</v>
      </c>
      <c r="L44">
        <f t="shared" si="1"/>
        <v>44.10173238932169</v>
      </c>
      <c r="N44">
        <f t="shared" si="2"/>
        <v>155.81437888632666</v>
      </c>
    </row>
    <row r="45" spans="1:14" x14ac:dyDescent="0.35">
      <c r="A45" t="s">
        <v>58</v>
      </c>
      <c r="B45">
        <v>7.8264849435072392E-5</v>
      </c>
      <c r="J45">
        <f t="shared" si="0"/>
        <v>2.7535726917657315E-11</v>
      </c>
      <c r="L45">
        <f t="shared" si="1"/>
        <v>5.7151226397795065E-4</v>
      </c>
      <c r="N45">
        <f t="shared" si="2"/>
        <v>4.7427919315282189E-5</v>
      </c>
    </row>
    <row r="46" spans="1:14" x14ac:dyDescent="0.35">
      <c r="A46" t="s">
        <v>61</v>
      </c>
      <c r="B46">
        <v>7.3698814958333969E-5</v>
      </c>
      <c r="J46">
        <f t="shared" si="0"/>
        <v>4.6432651997036243E-13</v>
      </c>
      <c r="L46">
        <f t="shared" si="1"/>
        <v>1.2514571069208659E-6</v>
      </c>
      <c r="N46">
        <f t="shared" si="2"/>
        <v>1.3486149155594351E-8</v>
      </c>
    </row>
    <row r="47" spans="1:14" x14ac:dyDescent="0.35">
      <c r="A47" t="s">
        <v>63</v>
      </c>
      <c r="B47">
        <v>6.9870809966232628E-5</v>
      </c>
      <c r="J47">
        <f t="shared" si="0"/>
        <v>9.901028034676156E-12</v>
      </c>
      <c r="L47">
        <f t="shared" si="1"/>
        <v>-1.2322566504003213E-4</v>
      </c>
      <c r="N47">
        <f t="shared" si="2"/>
        <v>6.131991736405293E-6</v>
      </c>
    </row>
    <row r="48" spans="1:14" x14ac:dyDescent="0.35">
      <c r="A48" t="s">
        <v>66</v>
      </c>
      <c r="B48">
        <v>4.8074776714202023E-5</v>
      </c>
      <c r="J48">
        <f t="shared" si="0"/>
        <v>6.2213444998874153E-10</v>
      </c>
      <c r="L48">
        <f t="shared" si="1"/>
        <v>-6.1377205511055737E-2</v>
      </c>
      <c r="N48">
        <f t="shared" si="2"/>
        <v>2.4210819038736505E-2</v>
      </c>
    </row>
    <row r="49" spans="1:14" x14ac:dyDescent="0.35">
      <c r="A49" t="s">
        <v>71</v>
      </c>
      <c r="B49">
        <v>8.0742895079310983E-5</v>
      </c>
      <c r="J49">
        <f t="shared" si="0"/>
        <v>5.9683276199169425E-11</v>
      </c>
      <c r="L49">
        <f t="shared" si="1"/>
        <v>1.8237265375604221E-3</v>
      </c>
      <c r="N49">
        <f t="shared" si="2"/>
        <v>2.2281595729366064E-4</v>
      </c>
    </row>
    <row r="50" spans="1:14" x14ac:dyDescent="0.35">
      <c r="A50" t="s">
        <v>72</v>
      </c>
      <c r="B50">
        <v>9.2204412794671966E-5</v>
      </c>
      <c r="J50">
        <f t="shared" si="0"/>
        <v>3.6814146489722601E-10</v>
      </c>
      <c r="L50">
        <f t="shared" si="1"/>
        <v>2.7938484182738404E-2</v>
      </c>
      <c r="N50">
        <f t="shared" si="2"/>
        <v>8.4775518119481457E-3</v>
      </c>
    </row>
    <row r="51" spans="1:14" x14ac:dyDescent="0.35">
      <c r="A51" t="s">
        <v>76</v>
      </c>
      <c r="B51">
        <v>4.5491025957744569E-5</v>
      </c>
      <c r="J51">
        <f t="shared" si="0"/>
        <v>7.5770126086389421E-10</v>
      </c>
      <c r="L51">
        <f t="shared" si="1"/>
        <v>-8.2495023441757881E-2</v>
      </c>
      <c r="N51">
        <f t="shared" si="2"/>
        <v>3.5911785665750068E-2</v>
      </c>
    </row>
    <row r="52" spans="1:14" x14ac:dyDescent="0.35">
      <c r="A52" t="s">
        <v>77</v>
      </c>
      <c r="B52">
        <v>4.8925983719527721E-5</v>
      </c>
      <c r="J52">
        <f t="shared" si="0"/>
        <v>5.8039633222853228E-10</v>
      </c>
      <c r="L52">
        <f t="shared" si="1"/>
        <v>-5.5305423756848854E-2</v>
      </c>
      <c r="N52">
        <f t="shared" si="2"/>
        <v>2.1071249962767193E-2</v>
      </c>
    </row>
    <row r="53" spans="1:14" x14ac:dyDescent="0.35">
      <c r="A53" t="s">
        <v>79</v>
      </c>
      <c r="B53">
        <v>6.3498846429865807E-5</v>
      </c>
      <c r="J53">
        <f t="shared" si="0"/>
        <v>9.060285962955175E-11</v>
      </c>
      <c r="L53">
        <f t="shared" si="1"/>
        <v>-3.4110932592015565E-3</v>
      </c>
      <c r="N53">
        <f t="shared" si="2"/>
        <v>5.13481487802195E-4</v>
      </c>
    </row>
    <row r="54" spans="1:14" x14ac:dyDescent="0.35">
      <c r="A54" t="s">
        <v>80</v>
      </c>
      <c r="B54">
        <v>4.2040664993692189E-5</v>
      </c>
      <c r="J54">
        <f t="shared" si="0"/>
        <v>9.5955810371702434E-10</v>
      </c>
      <c r="L54">
        <f t="shared" si="1"/>
        <v>-0.11756759971623575</v>
      </c>
      <c r="N54">
        <f t="shared" si="2"/>
        <v>5.7594834614852868E-2</v>
      </c>
    </row>
    <row r="55" spans="1:14" x14ac:dyDescent="0.35">
      <c r="A55" t="s">
        <v>82</v>
      </c>
      <c r="B55">
        <v>3.8485522964037962E-5</v>
      </c>
      <c r="J55">
        <f t="shared" si="0"/>
        <v>1.1924505227822414E-9</v>
      </c>
      <c r="L55">
        <f t="shared" si="1"/>
        <v>-0.162870071804702</v>
      </c>
      <c r="N55">
        <f t="shared" si="2"/>
        <v>8.8945036387783172E-2</v>
      </c>
    </row>
    <row r="56" spans="1:14" x14ac:dyDescent="0.35">
      <c r="A56" t="s">
        <v>84</v>
      </c>
      <c r="B56">
        <v>3.3913082006620243E-5</v>
      </c>
      <c r="J56">
        <f t="shared" si="0"/>
        <v>1.5291476757116753E-9</v>
      </c>
      <c r="L56">
        <f t="shared" si="1"/>
        <v>-0.23651292480920297</v>
      </c>
      <c r="N56">
        <f t="shared" si="2"/>
        <v>0.14626480563009592</v>
      </c>
    </row>
    <row r="57" spans="1:14" x14ac:dyDescent="0.35">
      <c r="A57" t="s">
        <v>87</v>
      </c>
      <c r="B57">
        <v>1.82445772225E-4</v>
      </c>
      <c r="J57">
        <f t="shared" si="0"/>
        <v>1.1974568675840759E-8</v>
      </c>
      <c r="L57">
        <f t="shared" si="1"/>
        <v>5.1828728432661295</v>
      </c>
      <c r="N57">
        <f t="shared" si="2"/>
        <v>8.9693451951255483</v>
      </c>
    </row>
    <row r="58" spans="1:14" x14ac:dyDescent="0.35">
      <c r="A58" t="s">
        <v>91</v>
      </c>
      <c r="B58">
        <v>7.1195361670106649E-5</v>
      </c>
      <c r="J58">
        <f t="shared" si="0"/>
        <v>3.3198232089265742E-12</v>
      </c>
      <c r="L58">
        <f t="shared" si="1"/>
        <v>-2.3925067433233993E-5</v>
      </c>
      <c r="N58">
        <f t="shared" si="2"/>
        <v>6.8939938877315984E-7</v>
      </c>
    </row>
    <row r="59" spans="1:14" x14ac:dyDescent="0.35">
      <c r="A59" t="s">
        <v>93</v>
      </c>
      <c r="B59">
        <v>5.6531542213633663E-5</v>
      </c>
      <c r="J59">
        <f t="shared" si="0"/>
        <v>2.7178350272981523E-10</v>
      </c>
      <c r="L59">
        <f t="shared" si="1"/>
        <v>-1.7722107745619949E-2</v>
      </c>
      <c r="N59">
        <f t="shared" si="2"/>
        <v>4.6204807317420616E-3</v>
      </c>
    </row>
    <row r="60" spans="1:14" x14ac:dyDescent="0.35">
      <c r="A60" t="s">
        <v>96</v>
      </c>
      <c r="B60">
        <v>2.016932739934418E-5</v>
      </c>
      <c r="J60">
        <f t="shared" si="0"/>
        <v>2.792918764068347E-9</v>
      </c>
      <c r="L60">
        <f t="shared" si="1"/>
        <v>-0.58380551205627451</v>
      </c>
      <c r="N60">
        <f t="shared" si="2"/>
        <v>0.48793007521272191</v>
      </c>
    </row>
    <row r="61" spans="1:14" x14ac:dyDescent="0.35">
      <c r="A61" t="s">
        <v>97</v>
      </c>
      <c r="B61">
        <v>3.5052678867941722E-5</v>
      </c>
      <c r="J61">
        <f t="shared" si="0"/>
        <v>1.441320040911146E-9</v>
      </c>
      <c r="L61">
        <f t="shared" si="1"/>
        <v>-0.21643195051489647</v>
      </c>
      <c r="N61">
        <f t="shared" si="2"/>
        <v>0.12994567553438682</v>
      </c>
    </row>
    <row r="62" spans="1:14" x14ac:dyDescent="0.35">
      <c r="A62" t="s">
        <v>99</v>
      </c>
      <c r="B62">
        <v>5.8151676057605073E-5</v>
      </c>
      <c r="J62">
        <f t="shared" si="0"/>
        <v>2.2098974452397413E-10</v>
      </c>
      <c r="L62">
        <f t="shared" si="1"/>
        <v>-1.2993881898043203E-2</v>
      </c>
      <c r="N62">
        <f t="shared" si="2"/>
        <v>3.0548171504554533E-3</v>
      </c>
    </row>
    <row r="63" spans="1:14" x14ac:dyDescent="0.35">
      <c r="A63" t="s">
        <v>100</v>
      </c>
      <c r="B63">
        <v>3.5968663723906502E-5</v>
      </c>
      <c r="J63">
        <f t="shared" si="0"/>
        <v>1.3726088501663288E-9</v>
      </c>
      <c r="L63">
        <f t="shared" si="1"/>
        <v>-0.20114114939178418</v>
      </c>
      <c r="N63">
        <f t="shared" si="2"/>
        <v>0.11785135223512283</v>
      </c>
    </row>
    <row r="64" spans="1:14" x14ac:dyDescent="0.35">
      <c r="A64" t="s">
        <v>104</v>
      </c>
      <c r="B64">
        <v>6.7564695200417191E-5</v>
      </c>
      <c r="J64">
        <f t="shared" si="0"/>
        <v>2.9731988234806159E-11</v>
      </c>
      <c r="L64">
        <f t="shared" si="1"/>
        <v>-6.4123418012638719E-4</v>
      </c>
      <c r="N64">
        <f t="shared" si="2"/>
        <v>5.5295384849075566E-5</v>
      </c>
    </row>
    <row r="65" spans="1:14" x14ac:dyDescent="0.35">
      <c r="A65" t="s">
        <v>107</v>
      </c>
      <c r="B65">
        <v>7.0032903749961406E-5</v>
      </c>
      <c r="J65">
        <f t="shared" si="0"/>
        <v>8.9072171020830953E-12</v>
      </c>
      <c r="L65">
        <f t="shared" si="1"/>
        <v>-1.0514625090604945E-4</v>
      </c>
      <c r="N65">
        <f t="shared" si="2"/>
        <v>4.9627803745516161E-6</v>
      </c>
    </row>
    <row r="66" spans="1:14" x14ac:dyDescent="0.35">
      <c r="A66" t="s">
        <v>108</v>
      </c>
      <c r="B66">
        <v>6.6227679781150073E-5</v>
      </c>
      <c r="J66">
        <f t="shared" si="0"/>
        <v>4.6100298911225935E-11</v>
      </c>
      <c r="L66">
        <f t="shared" si="1"/>
        <v>-1.2380447628902622E-3</v>
      </c>
      <c r="N66">
        <f t="shared" si="2"/>
        <v>1.3293779260514354E-4</v>
      </c>
    </row>
    <row r="67" spans="1:14" x14ac:dyDescent="0.35">
      <c r="A67" t="s">
        <v>110</v>
      </c>
      <c r="B67">
        <v>4.2995849071303383E-5</v>
      </c>
      <c r="J67">
        <f t="shared" ref="J67:J130" si="3">(B67-$E$4)^2</f>
        <v>9.0129351247498211E-10</v>
      </c>
      <c r="L67">
        <f t="shared" ref="L67:L130" si="4">((B67 - $E$4) / $E$7)^3</f>
        <v>-0.10702373491050349</v>
      </c>
      <c r="N67">
        <f t="shared" ref="N67:N130" si="5">((B67 - $E$4) / $E$7)^4</f>
        <v>5.0812840189475912E-2</v>
      </c>
    </row>
    <row r="68" spans="1:14" x14ac:dyDescent="0.35">
      <c r="A68" t="s">
        <v>117</v>
      </c>
      <c r="B68">
        <v>3.0951850931160152E-5</v>
      </c>
      <c r="J68">
        <f t="shared" si="3"/>
        <v>1.7695104076888321E-9</v>
      </c>
      <c r="L68">
        <f t="shared" si="4"/>
        <v>-0.29441532847140062</v>
      </c>
      <c r="N68">
        <f t="shared" si="5"/>
        <v>0.19586066431982857</v>
      </c>
    </row>
    <row r="69" spans="1:14" x14ac:dyDescent="0.35">
      <c r="A69" t="s">
        <v>118</v>
      </c>
      <c r="B69">
        <v>5.8182737120660022E-5</v>
      </c>
      <c r="J69">
        <f t="shared" si="3"/>
        <v>2.2006721894410345E-10</v>
      </c>
      <c r="L69">
        <f t="shared" si="4"/>
        <v>-1.2912602088711258E-2</v>
      </c>
      <c r="N69">
        <f t="shared" si="5"/>
        <v>3.029365609551418E-3</v>
      </c>
    </row>
    <row r="70" spans="1:14" x14ac:dyDescent="0.35">
      <c r="A70" t="s">
        <v>119</v>
      </c>
      <c r="B70">
        <v>6.3471292378380895E-5</v>
      </c>
      <c r="J70">
        <f t="shared" si="3"/>
        <v>9.112816827851439E-11</v>
      </c>
      <c r="L70">
        <f t="shared" si="4"/>
        <v>-3.4408021158518643E-3</v>
      </c>
      <c r="N70">
        <f t="shared" si="5"/>
        <v>5.1945300400263114E-4</v>
      </c>
    </row>
    <row r="71" spans="1:14" x14ac:dyDescent="0.35">
      <c r="A71" t="s">
        <v>120</v>
      </c>
      <c r="B71">
        <v>5.4520609410246827E-5</v>
      </c>
      <c r="J71">
        <f t="shared" si="3"/>
        <v>3.4213125738364614E-10</v>
      </c>
      <c r="L71">
        <f t="shared" si="4"/>
        <v>-2.5030519630260675E-2</v>
      </c>
      <c r="N71">
        <f t="shared" si="5"/>
        <v>7.3219454245262794E-3</v>
      </c>
    </row>
    <row r="72" spans="1:14" x14ac:dyDescent="0.35">
      <c r="A72" t="s">
        <v>121</v>
      </c>
      <c r="B72">
        <v>1.055628235917E-4</v>
      </c>
      <c r="J72">
        <f t="shared" si="3"/>
        <v>1.0592046050989583E-9</v>
      </c>
      <c r="L72">
        <f t="shared" si="4"/>
        <v>0.13634855062599177</v>
      </c>
      <c r="N72">
        <f t="shared" si="5"/>
        <v>7.0177953774499507E-2</v>
      </c>
    </row>
    <row r="73" spans="1:14" x14ac:dyDescent="0.35">
      <c r="A73" t="s">
        <v>122</v>
      </c>
      <c r="B73">
        <v>3.818876575678587E-5</v>
      </c>
      <c r="J73">
        <f t="shared" si="3"/>
        <v>1.2130337543270195E-9</v>
      </c>
      <c r="L73">
        <f t="shared" si="4"/>
        <v>-0.16710523834120802</v>
      </c>
      <c r="N73">
        <f t="shared" si="5"/>
        <v>9.2042149469595658E-2</v>
      </c>
    </row>
    <row r="74" spans="1:14" x14ac:dyDescent="0.35">
      <c r="A74" t="s">
        <v>123</v>
      </c>
      <c r="B74">
        <v>1.074012689059E-4</v>
      </c>
      <c r="J74">
        <f t="shared" si="3"/>
        <v>1.1822504497447687E-9</v>
      </c>
      <c r="L74">
        <f t="shared" si="4"/>
        <v>0.16078479165392282</v>
      </c>
      <c r="N74">
        <f t="shared" si="5"/>
        <v>8.7429894893486987E-2</v>
      </c>
    </row>
    <row r="75" spans="1:14" x14ac:dyDescent="0.35">
      <c r="A75" t="s">
        <v>125</v>
      </c>
      <c r="B75">
        <v>1.5777935914229602E-5</v>
      </c>
      <c r="J75">
        <f t="shared" si="3"/>
        <v>3.2763562341656026E-9</v>
      </c>
      <c r="L75">
        <f t="shared" si="4"/>
        <v>-0.74176683079551564</v>
      </c>
      <c r="N75">
        <f t="shared" si="5"/>
        <v>0.67146474077716234</v>
      </c>
    </row>
    <row r="76" spans="1:14" x14ac:dyDescent="0.35">
      <c r="A76" t="s">
        <v>128</v>
      </c>
      <c r="B76">
        <v>7.8888158896006644E-5</v>
      </c>
      <c r="J76">
        <f t="shared" si="3"/>
        <v>3.4465811518703543E-11</v>
      </c>
      <c r="L76">
        <f t="shared" si="4"/>
        <v>8.0031968366122514E-4</v>
      </c>
      <c r="N76">
        <f t="shared" si="5"/>
        <v>7.4304993042560195E-5</v>
      </c>
    </row>
    <row r="77" spans="1:14" x14ac:dyDescent="0.35">
      <c r="A77" t="s">
        <v>129</v>
      </c>
      <c r="B77">
        <v>1.3370363740249999E-4</v>
      </c>
      <c r="J77">
        <f t="shared" si="3"/>
        <v>3.6828194256159991E-9</v>
      </c>
      <c r="L77">
        <f t="shared" si="4"/>
        <v>0.8839981847874655</v>
      </c>
      <c r="N77">
        <f t="shared" si="5"/>
        <v>0.84840228781465665</v>
      </c>
    </row>
    <row r="78" spans="1:14" x14ac:dyDescent="0.35">
      <c r="A78" t="s">
        <v>130</v>
      </c>
      <c r="B78">
        <v>4.9313806812278933E-5</v>
      </c>
      <c r="J78">
        <f t="shared" si="3"/>
        <v>5.6186032393783626E-10</v>
      </c>
      <c r="L78">
        <f t="shared" si="4"/>
        <v>-5.2677272871839251E-2</v>
      </c>
      <c r="N78">
        <f t="shared" si="5"/>
        <v>1.9746844714796957E-2</v>
      </c>
    </row>
    <row r="79" spans="1:14" x14ac:dyDescent="0.35">
      <c r="A79" t="s">
        <v>131</v>
      </c>
      <c r="B79">
        <v>4.3483756599016488E-5</v>
      </c>
      <c r="J79">
        <f t="shared" si="3"/>
        <v>8.7223608497208081E-10</v>
      </c>
      <c r="L79">
        <f t="shared" si="4"/>
        <v>-0.10189005812628449</v>
      </c>
      <c r="N79">
        <f t="shared" si="5"/>
        <v>4.7589274059522513E-2</v>
      </c>
    </row>
    <row r="80" spans="1:14" x14ac:dyDescent="0.35">
      <c r="A80" t="s">
        <v>132</v>
      </c>
      <c r="B80">
        <v>2.9944485504529439E-5</v>
      </c>
      <c r="J80">
        <f t="shared" si="3"/>
        <v>1.8552759521019631E-9</v>
      </c>
      <c r="L80">
        <f t="shared" si="4"/>
        <v>-0.31607744666008081</v>
      </c>
      <c r="N80">
        <f t="shared" si="5"/>
        <v>0.21530693130830983</v>
      </c>
    </row>
    <row r="81" spans="1:14" x14ac:dyDescent="0.35">
      <c r="A81" t="s">
        <v>133</v>
      </c>
      <c r="B81">
        <v>6.9450201408471912E-5</v>
      </c>
      <c r="J81">
        <f t="shared" si="3"/>
        <v>1.2724904877742588E-11</v>
      </c>
      <c r="L81">
        <f t="shared" si="4"/>
        <v>-1.7954055038517261E-4</v>
      </c>
      <c r="N81">
        <f t="shared" si="5"/>
        <v>1.0128615143583202E-5</v>
      </c>
    </row>
    <row r="82" spans="1:14" x14ac:dyDescent="0.35">
      <c r="A82" t="s">
        <v>135</v>
      </c>
      <c r="B82">
        <v>4.9337737436871982E-5</v>
      </c>
      <c r="J82">
        <f t="shared" si="3"/>
        <v>5.6072641303859547E-10</v>
      </c>
      <c r="L82">
        <f t="shared" si="4"/>
        <v>-5.2517888453686726E-2</v>
      </c>
      <c r="N82">
        <f t="shared" si="5"/>
        <v>1.9667221480045603E-2</v>
      </c>
    </row>
    <row r="83" spans="1:14" x14ac:dyDescent="0.35">
      <c r="A83" t="s">
        <v>140</v>
      </c>
      <c r="B83">
        <v>2.5576335247023959E-5</v>
      </c>
      <c r="J83">
        <f t="shared" si="3"/>
        <v>2.2506546127451076E-9</v>
      </c>
      <c r="L83">
        <f t="shared" si="4"/>
        <v>-0.42232230055447484</v>
      </c>
      <c r="N83">
        <f t="shared" si="5"/>
        <v>0.31685362957893531</v>
      </c>
    </row>
    <row r="84" spans="1:14" x14ac:dyDescent="0.35">
      <c r="A84" t="s">
        <v>141</v>
      </c>
      <c r="B84">
        <v>4.4972606701776392E-5</v>
      </c>
      <c r="J84">
        <f t="shared" si="3"/>
        <v>7.8651042395704699E-10</v>
      </c>
      <c r="L84">
        <f t="shared" si="4"/>
        <v>-8.7244379800605523E-2</v>
      </c>
      <c r="N84">
        <f t="shared" si="5"/>
        <v>3.8694562998043955E-2</v>
      </c>
    </row>
    <row r="85" spans="1:14" x14ac:dyDescent="0.35">
      <c r="A85" t="s">
        <v>142</v>
      </c>
      <c r="B85">
        <v>7.2748014645185322E-5</v>
      </c>
      <c r="J85">
        <f t="shared" si="3"/>
        <v>7.2568400391668327E-14</v>
      </c>
      <c r="L85">
        <f t="shared" si="4"/>
        <v>-7.7321818695894738E-8</v>
      </c>
      <c r="N85">
        <f t="shared" si="5"/>
        <v>3.2940947035567E-10</v>
      </c>
    </row>
    <row r="86" spans="1:14" x14ac:dyDescent="0.35">
      <c r="A86" t="s">
        <v>143</v>
      </c>
      <c r="B86">
        <v>5.0883270887425169E-5</v>
      </c>
      <c r="J86">
        <f t="shared" si="3"/>
        <v>4.8991966590297513E-10</v>
      </c>
      <c r="L86">
        <f t="shared" si="4"/>
        <v>-4.289118495383392E-2</v>
      </c>
      <c r="N86">
        <f t="shared" si="5"/>
        <v>1.501380345361367E-2</v>
      </c>
    </row>
    <row r="87" spans="1:14" x14ac:dyDescent="0.35">
      <c r="A87" t="s">
        <v>144</v>
      </c>
      <c r="B87">
        <v>3.8653295632684603E-5</v>
      </c>
      <c r="J87">
        <f t="shared" si="3"/>
        <v>1.1808916601661554E-9</v>
      </c>
      <c r="L87">
        <f t="shared" si="4"/>
        <v>-0.16050768042934879</v>
      </c>
      <c r="N87">
        <f t="shared" si="5"/>
        <v>8.722903971791135E-2</v>
      </c>
    </row>
    <row r="88" spans="1:14" x14ac:dyDescent="0.35">
      <c r="A88" t="s">
        <v>147</v>
      </c>
      <c r="B88">
        <v>1.077658380381E-4</v>
      </c>
      <c r="J88">
        <f t="shared" si="3"/>
        <v>1.2074539549877029E-9</v>
      </c>
      <c r="L88">
        <f t="shared" si="4"/>
        <v>0.16595357134192423</v>
      </c>
      <c r="N88">
        <f t="shared" si="5"/>
        <v>9.1197332860801325E-2</v>
      </c>
    </row>
    <row r="89" spans="1:14" x14ac:dyDescent="0.35">
      <c r="A89" t="s">
        <v>149</v>
      </c>
      <c r="B89">
        <v>7.6467484177555889E-5</v>
      </c>
      <c r="J89">
        <f t="shared" si="3"/>
        <v>1.1903081715882701E-11</v>
      </c>
      <c r="L89">
        <f t="shared" si="4"/>
        <v>1.6243135155599768E-4</v>
      </c>
      <c r="N89">
        <f t="shared" si="5"/>
        <v>8.8625726983691805E-6</v>
      </c>
    </row>
    <row r="90" spans="1:14" x14ac:dyDescent="0.35">
      <c r="A90" t="s">
        <v>150</v>
      </c>
      <c r="B90">
        <v>9.6365081844851361E-5</v>
      </c>
      <c r="J90">
        <f t="shared" si="3"/>
        <v>5.4511425350838359E-10</v>
      </c>
      <c r="L90">
        <f t="shared" si="4"/>
        <v>5.0339864516425407E-2</v>
      </c>
      <c r="N90">
        <f t="shared" si="5"/>
        <v>1.8587289212703126E-2</v>
      </c>
    </row>
    <row r="91" spans="1:14" x14ac:dyDescent="0.35">
      <c r="A91" t="s">
        <v>151</v>
      </c>
      <c r="B91">
        <v>1.5015809913159999E-4</v>
      </c>
      <c r="J91">
        <f t="shared" si="3"/>
        <v>5.9506874822698802E-9</v>
      </c>
      <c r="L91">
        <f t="shared" si="4"/>
        <v>1.8156471375300902</v>
      </c>
      <c r="N91">
        <f t="shared" si="5"/>
        <v>2.2150078297394904</v>
      </c>
    </row>
    <row r="92" spans="1:14" x14ac:dyDescent="0.35">
      <c r="A92" t="s">
        <v>152</v>
      </c>
      <c r="B92">
        <v>6.0802260122727603E-5</v>
      </c>
      <c r="J92">
        <f t="shared" si="3"/>
        <v>1.4920963909269797E-10</v>
      </c>
      <c r="L92">
        <f t="shared" si="4"/>
        <v>-7.2090170923305051E-3</v>
      </c>
      <c r="N92">
        <f t="shared" si="5"/>
        <v>1.3926267734573861E-3</v>
      </c>
    </row>
    <row r="93" spans="1:14" x14ac:dyDescent="0.35">
      <c r="A93" t="s">
        <v>153</v>
      </c>
      <c r="B93">
        <v>4.332737807999365E-5</v>
      </c>
      <c r="J93">
        <f t="shared" si="3"/>
        <v>8.8149739400602853E-10</v>
      </c>
      <c r="L93">
        <f t="shared" si="4"/>
        <v>-0.10351714471133566</v>
      </c>
      <c r="N93">
        <f t="shared" si="5"/>
        <v>4.8605234854850216E-2</v>
      </c>
    </row>
    <row r="94" spans="1:14" x14ac:dyDescent="0.35">
      <c r="A94" t="s">
        <v>154</v>
      </c>
      <c r="B94">
        <v>5.4185158660402521E-5</v>
      </c>
      <c r="J94">
        <f t="shared" si="3"/>
        <v>3.5465330904939067E-10</v>
      </c>
      <c r="L94">
        <f t="shared" si="4"/>
        <v>-2.6417198521756315E-2</v>
      </c>
      <c r="N94">
        <f t="shared" si="5"/>
        <v>7.8677221287750468E-3</v>
      </c>
    </row>
    <row r="95" spans="1:14" x14ac:dyDescent="0.35">
      <c r="A95" t="s">
        <v>155</v>
      </c>
      <c r="B95">
        <v>9.0025736426468939E-5</v>
      </c>
      <c r="J95">
        <f t="shared" si="3"/>
        <v>2.8928351235225168E-10</v>
      </c>
      <c r="L95">
        <f t="shared" si="4"/>
        <v>1.9461049537080752E-2</v>
      </c>
      <c r="N95">
        <f t="shared" si="5"/>
        <v>5.2346583775767482E-3</v>
      </c>
    </row>
    <row r="96" spans="1:14" x14ac:dyDescent="0.35">
      <c r="A96" t="s">
        <v>156</v>
      </c>
      <c r="B96">
        <v>4.4717446144204587E-5</v>
      </c>
      <c r="J96">
        <f t="shared" si="3"/>
        <v>8.0088738099175525E-10</v>
      </c>
      <c r="L96">
        <f t="shared" si="4"/>
        <v>-8.9647444007627752E-2</v>
      </c>
      <c r="N96">
        <f t="shared" si="5"/>
        <v>4.0122120894920614E-2</v>
      </c>
    </row>
    <row r="97" spans="1:14" x14ac:dyDescent="0.35">
      <c r="A97" t="s">
        <v>157</v>
      </c>
      <c r="B97">
        <v>4.7147896111709997E-5</v>
      </c>
      <c r="J97">
        <f t="shared" si="3"/>
        <v>6.6923122480036208E-10</v>
      </c>
      <c r="L97">
        <f t="shared" si="4"/>
        <v>-6.8477047900432117E-2</v>
      </c>
      <c r="N97">
        <f t="shared" si="5"/>
        <v>2.8015177110089721E-2</v>
      </c>
    </row>
    <row r="98" spans="1:14" x14ac:dyDescent="0.35">
      <c r="A98" t="s">
        <v>158</v>
      </c>
      <c r="B98">
        <v>2.759475682978518E-5</v>
      </c>
      <c r="J98">
        <f t="shared" si="3"/>
        <v>2.0632165009346781E-9</v>
      </c>
      <c r="L98">
        <f t="shared" si="4"/>
        <v>-0.37067896276114387</v>
      </c>
      <c r="N98">
        <f t="shared" si="5"/>
        <v>0.26627511778819518</v>
      </c>
    </row>
    <row r="99" spans="1:14" x14ac:dyDescent="0.35">
      <c r="A99" t="s">
        <v>159</v>
      </c>
      <c r="B99">
        <v>5.9402198530733592E-5</v>
      </c>
      <c r="J99">
        <f t="shared" si="3"/>
        <v>1.8537370756148762E-10</v>
      </c>
      <c r="L99">
        <f t="shared" si="4"/>
        <v>-9.9828130836714952E-3</v>
      </c>
      <c r="N99">
        <f t="shared" si="5"/>
        <v>2.149499026291283E-3</v>
      </c>
    </row>
    <row r="100" spans="1:14" x14ac:dyDescent="0.35">
      <c r="A100" t="s">
        <v>160</v>
      </c>
      <c r="B100">
        <v>1.0261763236480001E-4</v>
      </c>
      <c r="J100">
        <f t="shared" si="3"/>
        <v>8.7617376363158519E-10</v>
      </c>
      <c r="L100">
        <f t="shared" si="4"/>
        <v>0.10258080479458236</v>
      </c>
      <c r="N100">
        <f t="shared" si="5"/>
        <v>4.8019924104200418E-2</v>
      </c>
    </row>
    <row r="101" spans="1:14" x14ac:dyDescent="0.35">
      <c r="A101" t="s">
        <v>161</v>
      </c>
      <c r="B101">
        <v>7.0111957029439509E-5</v>
      </c>
      <c r="J101">
        <f t="shared" si="3"/>
        <v>8.4415981110157504E-12</v>
      </c>
      <c r="L101">
        <f t="shared" si="4"/>
        <v>-9.7010276828309389E-5</v>
      </c>
      <c r="N101">
        <f t="shared" si="5"/>
        <v>4.4574894625870211E-6</v>
      </c>
    </row>
    <row r="102" spans="1:14" x14ac:dyDescent="0.35">
      <c r="A102" t="s">
        <v>162</v>
      </c>
      <c r="B102">
        <v>7.9376062785740942E-5</v>
      </c>
      <c r="J102">
        <f t="shared" si="3"/>
        <v>4.0432594051394723E-11</v>
      </c>
      <c r="L102">
        <f t="shared" si="4"/>
        <v>1.016899756957929E-3</v>
      </c>
      <c r="N102">
        <f t="shared" si="5"/>
        <v>1.0225962396533587E-4</v>
      </c>
    </row>
    <row r="103" spans="1:14" x14ac:dyDescent="0.35">
      <c r="A103" t="s">
        <v>163</v>
      </c>
      <c r="B103">
        <v>4.4489988795248792E-5</v>
      </c>
      <c r="J103">
        <f t="shared" si="3"/>
        <v>8.1381318273831235E-10</v>
      </c>
      <c r="L103">
        <f t="shared" si="4"/>
        <v>-9.1826454522490872E-2</v>
      </c>
      <c r="N103">
        <f t="shared" si="5"/>
        <v>4.1427661752674538E-2</v>
      </c>
    </row>
    <row r="104" spans="1:14" x14ac:dyDescent="0.35">
      <c r="A104" t="s">
        <v>165</v>
      </c>
      <c r="B104">
        <v>1.7243824549950001E-4</v>
      </c>
      <c r="J104">
        <f t="shared" si="3"/>
        <v>9.8845045452998561E-9</v>
      </c>
      <c r="L104">
        <f t="shared" si="4"/>
        <v>3.8869870483874496</v>
      </c>
      <c r="N104">
        <f t="shared" si="5"/>
        <v>6.1115418692564294</v>
      </c>
    </row>
    <row r="105" spans="1:14" x14ac:dyDescent="0.35">
      <c r="A105" t="s">
        <v>167</v>
      </c>
      <c r="B105">
        <v>1.1370652646290001E-4</v>
      </c>
      <c r="J105">
        <f t="shared" si="3"/>
        <v>1.655605022735471E-9</v>
      </c>
      <c r="L105">
        <f t="shared" si="4"/>
        <v>0.2664500697669161</v>
      </c>
      <c r="N105">
        <f t="shared" si="5"/>
        <v>0.17145669620291232</v>
      </c>
    </row>
    <row r="106" spans="1:14" x14ac:dyDescent="0.35">
      <c r="A106" t="s">
        <v>169</v>
      </c>
      <c r="B106">
        <v>5.5156739108497277E-5</v>
      </c>
      <c r="J106">
        <f t="shared" si="3"/>
        <v>3.1900320290664973E-10</v>
      </c>
      <c r="L106">
        <f t="shared" si="4"/>
        <v>-2.2535816654953342E-2</v>
      </c>
      <c r="N106">
        <f t="shared" si="5"/>
        <v>6.3654786756452844E-3</v>
      </c>
    </row>
    <row r="107" spans="1:14" x14ac:dyDescent="0.35">
      <c r="A107" t="s">
        <v>172</v>
      </c>
      <c r="B107">
        <v>2.4388449674E-4</v>
      </c>
      <c r="J107">
        <f t="shared" si="3"/>
        <v>2.9195564792120263E-8</v>
      </c>
      <c r="L107">
        <f t="shared" si="4"/>
        <v>19.731316234962598</v>
      </c>
      <c r="N107">
        <f t="shared" si="5"/>
        <v>53.318109568756086</v>
      </c>
    </row>
    <row r="108" spans="1:14" x14ac:dyDescent="0.35">
      <c r="A108" t="s">
        <v>175</v>
      </c>
      <c r="B108">
        <v>2.4400181428059999E-4</v>
      </c>
      <c r="J108">
        <f t="shared" si="3"/>
        <v>2.923566997067364E-8</v>
      </c>
      <c r="L108">
        <f t="shared" si="4"/>
        <v>19.771986778283612</v>
      </c>
      <c r="N108">
        <f t="shared" si="5"/>
        <v>53.464693545124312</v>
      </c>
    </row>
    <row r="109" spans="1:14" x14ac:dyDescent="0.35">
      <c r="A109" t="s">
        <v>180</v>
      </c>
      <c r="B109">
        <v>4.5877048250986263E-5</v>
      </c>
      <c r="J109">
        <f t="shared" si="3"/>
        <v>7.3659868610880454E-10</v>
      </c>
      <c r="L109">
        <f t="shared" si="4"/>
        <v>-7.9072805013966574E-2</v>
      </c>
      <c r="N109">
        <f t="shared" si="5"/>
        <v>3.3939298396214644E-2</v>
      </c>
    </row>
    <row r="110" spans="1:14" x14ac:dyDescent="0.35">
      <c r="A110" t="s">
        <v>181</v>
      </c>
      <c r="B110">
        <v>6.2848594097886235E-5</v>
      </c>
      <c r="J110">
        <f t="shared" si="3"/>
        <v>1.0340461087035366E-10</v>
      </c>
      <c r="L110">
        <f t="shared" si="4"/>
        <v>-4.159016011317216E-3</v>
      </c>
      <c r="N110">
        <f t="shared" si="5"/>
        <v>6.6883776928707581E-4</v>
      </c>
    </row>
    <row r="111" spans="1:14" x14ac:dyDescent="0.35">
      <c r="A111" t="s">
        <v>182</v>
      </c>
      <c r="B111">
        <v>1.239730918314E-4</v>
      </c>
      <c r="J111">
        <f t="shared" si="3"/>
        <v>2.5964825430677551E-9</v>
      </c>
      <c r="L111">
        <f t="shared" si="4"/>
        <v>0.52330977362390718</v>
      </c>
      <c r="N111">
        <f t="shared" si="5"/>
        <v>0.42170795603475836</v>
      </c>
    </row>
    <row r="112" spans="1:14" x14ac:dyDescent="0.35">
      <c r="A112" t="s">
        <v>183</v>
      </c>
      <c r="B112">
        <v>6.190221756696701E-5</v>
      </c>
      <c r="J112">
        <f t="shared" si="3"/>
        <v>1.235472776727021E-10</v>
      </c>
      <c r="L112">
        <f t="shared" si="4"/>
        <v>-5.4316340954574148E-3</v>
      </c>
      <c r="N112">
        <f t="shared" si="5"/>
        <v>9.5478885526449836E-4</v>
      </c>
    </row>
    <row r="113" spans="1:14" x14ac:dyDescent="0.35">
      <c r="A113" t="s">
        <v>184</v>
      </c>
      <c r="B113">
        <v>4.2807638237718493E-5</v>
      </c>
      <c r="J113">
        <f t="shared" si="3"/>
        <v>9.1262969799625732E-10</v>
      </c>
      <c r="L113">
        <f t="shared" si="4"/>
        <v>-0.10904923694391128</v>
      </c>
      <c r="N113">
        <f t="shared" si="5"/>
        <v>5.2099094440634527E-2</v>
      </c>
    </row>
    <row r="114" spans="1:14" x14ac:dyDescent="0.35">
      <c r="A114" t="s">
        <v>185</v>
      </c>
      <c r="B114">
        <v>8.1765705544967204E-5</v>
      </c>
      <c r="J114">
        <f t="shared" si="3"/>
        <v>7.6532852148784962E-11</v>
      </c>
      <c r="L114">
        <f t="shared" si="4"/>
        <v>2.6482109872165765E-3</v>
      </c>
      <c r="N114">
        <f t="shared" si="5"/>
        <v>3.6638423426621069E-4</v>
      </c>
    </row>
    <row r="115" spans="1:14" x14ac:dyDescent="0.35">
      <c r="A115" t="s">
        <v>186</v>
      </c>
      <c r="B115">
        <v>5.5014850659063093E-5</v>
      </c>
      <c r="J115">
        <f t="shared" si="3"/>
        <v>3.2409177816192122E-10</v>
      </c>
      <c r="L115">
        <f t="shared" si="4"/>
        <v>-2.3077180970394753E-2</v>
      </c>
      <c r="N115">
        <f t="shared" si="5"/>
        <v>6.5701760643261491E-3</v>
      </c>
    </row>
    <row r="116" spans="1:14" x14ac:dyDescent="0.35">
      <c r="A116" t="s">
        <v>187</v>
      </c>
      <c r="B116">
        <v>7.3933639214374125E-5</v>
      </c>
      <c r="J116">
        <f t="shared" si="3"/>
        <v>8.394945326309243E-13</v>
      </c>
      <c r="L116">
        <f t="shared" si="4"/>
        <v>3.0423385707481351E-6</v>
      </c>
      <c r="N116">
        <f t="shared" si="5"/>
        <v>4.4083566656479916E-8</v>
      </c>
    </row>
    <row r="117" spans="1:14" x14ac:dyDescent="0.35">
      <c r="A117" t="s">
        <v>188</v>
      </c>
      <c r="B117">
        <v>6.9697576691396534E-5</v>
      </c>
      <c r="J117">
        <f t="shared" si="3"/>
        <v>1.102122595004907E-11</v>
      </c>
      <c r="L117">
        <f t="shared" si="4"/>
        <v>-1.4471901386720057E-4</v>
      </c>
      <c r="N117">
        <f t="shared" si="5"/>
        <v>7.5980263035577764E-6</v>
      </c>
    </row>
    <row r="118" spans="1:14" x14ac:dyDescent="0.35">
      <c r="A118" t="s">
        <v>189</v>
      </c>
      <c r="B118">
        <v>1.048271078616E-4</v>
      </c>
      <c r="J118">
        <f t="shared" si="3"/>
        <v>1.0118575223876756E-9</v>
      </c>
      <c r="L118">
        <f t="shared" si="4"/>
        <v>0.12730919803820073</v>
      </c>
      <c r="N118">
        <f t="shared" si="5"/>
        <v>6.4044185955840174E-2</v>
      </c>
    </row>
    <row r="119" spans="1:14" x14ac:dyDescent="0.35">
      <c r="A119" t="s">
        <v>190</v>
      </c>
      <c r="B119">
        <v>1.067249395418E-4</v>
      </c>
      <c r="J119">
        <f t="shared" si="3"/>
        <v>1.1361982305954357E-9</v>
      </c>
      <c r="L119">
        <f t="shared" si="4"/>
        <v>0.15148230270993671</v>
      </c>
      <c r="N119">
        <f t="shared" si="5"/>
        <v>8.075123957668244E-2</v>
      </c>
    </row>
    <row r="120" spans="1:14" x14ac:dyDescent="0.35">
      <c r="A120" t="s">
        <v>191</v>
      </c>
      <c r="B120">
        <v>8.1318103184457868E-5</v>
      </c>
      <c r="J120">
        <f t="shared" si="3"/>
        <v>6.8901675482506775E-11</v>
      </c>
      <c r="L120">
        <f t="shared" si="4"/>
        <v>2.2621708901205922E-3</v>
      </c>
      <c r="N120">
        <f t="shared" si="5"/>
        <v>2.9696177201460648E-4</v>
      </c>
    </row>
    <row r="121" spans="1:14" x14ac:dyDescent="0.35">
      <c r="A121" t="s">
        <v>192</v>
      </c>
      <c r="B121">
        <v>4.1334864363307133E-5</v>
      </c>
      <c r="J121">
        <f t="shared" si="3"/>
        <v>1.0037830562555471E-9</v>
      </c>
      <c r="L121">
        <f t="shared" si="4"/>
        <v>-0.12578838064806225</v>
      </c>
      <c r="N121">
        <f t="shared" si="5"/>
        <v>6.3026138809990917E-2</v>
      </c>
    </row>
    <row r="122" spans="1:14" x14ac:dyDescent="0.35">
      <c r="A122" t="s">
        <v>193</v>
      </c>
      <c r="B122">
        <v>6.2085942772682756E-5</v>
      </c>
      <c r="J122">
        <f t="shared" si="3"/>
        <v>1.194967543128204E-10</v>
      </c>
      <c r="L122">
        <f t="shared" si="4"/>
        <v>-5.1667196795310644E-3</v>
      </c>
      <c r="N122">
        <f t="shared" si="5"/>
        <v>8.9320922415430022E-4</v>
      </c>
    </row>
    <row r="123" spans="1:14" x14ac:dyDescent="0.35">
      <c r="A123" t="s">
        <v>194</v>
      </c>
      <c r="B123">
        <v>5.3257743275025859E-5</v>
      </c>
      <c r="J123">
        <f t="shared" si="3"/>
        <v>3.9044402882782573E-10</v>
      </c>
      <c r="L123">
        <f t="shared" si="4"/>
        <v>-3.0515389206388948E-2</v>
      </c>
      <c r="N123">
        <f t="shared" si="5"/>
        <v>9.5358311255444184E-3</v>
      </c>
    </row>
    <row r="124" spans="1:14" x14ac:dyDescent="0.35">
      <c r="A124" t="s">
        <v>195</v>
      </c>
      <c r="B124">
        <v>6.9647736381739378E-5</v>
      </c>
      <c r="J124">
        <f t="shared" si="3"/>
        <v>1.1354632037166005E-11</v>
      </c>
      <c r="L124">
        <f t="shared" si="4"/>
        <v>-1.5133533158506694E-4</v>
      </c>
      <c r="N124">
        <f t="shared" si="5"/>
        <v>8.0646794540062853E-6</v>
      </c>
    </row>
    <row r="125" spans="1:14" x14ac:dyDescent="0.35">
      <c r="A125" t="s">
        <v>196</v>
      </c>
      <c r="B125">
        <v>8.4362662164494395E-5</v>
      </c>
      <c r="J125">
        <f t="shared" si="3"/>
        <v>1.287149764869409E-10</v>
      </c>
      <c r="L125">
        <f t="shared" si="4"/>
        <v>5.7759624063635088E-3</v>
      </c>
      <c r="N125">
        <f t="shared" si="5"/>
        <v>1.0363325615055153E-3</v>
      </c>
    </row>
    <row r="126" spans="1:14" x14ac:dyDescent="0.35">
      <c r="A126" t="s">
        <v>197</v>
      </c>
      <c r="B126">
        <v>6.1795260990038514E-5</v>
      </c>
      <c r="J126">
        <f t="shared" si="3"/>
        <v>1.2593640108460177E-10</v>
      </c>
      <c r="L126">
        <f t="shared" si="4"/>
        <v>-5.5899465166272403E-3</v>
      </c>
      <c r="N126">
        <f t="shared" si="5"/>
        <v>9.9207278698157332E-4</v>
      </c>
    </row>
    <row r="127" spans="1:14" x14ac:dyDescent="0.35">
      <c r="A127" t="s">
        <v>198</v>
      </c>
      <c r="B127">
        <v>2.6198122213827449E-5</v>
      </c>
      <c r="J127">
        <f t="shared" si="3"/>
        <v>2.1920447604270894E-9</v>
      </c>
      <c r="L127">
        <f t="shared" si="4"/>
        <v>-0.40593347104019906</v>
      </c>
      <c r="N127">
        <f t="shared" si="5"/>
        <v>0.30056597561164827</v>
      </c>
    </row>
    <row r="128" spans="1:14" x14ac:dyDescent="0.35">
      <c r="A128" t="s">
        <v>199</v>
      </c>
      <c r="B128">
        <v>4.9413738452130929E-5</v>
      </c>
      <c r="J128">
        <f t="shared" si="3"/>
        <v>5.5713283242080787E-10</v>
      </c>
      <c r="L128">
        <f t="shared" si="4"/>
        <v>-5.2013833643786818E-2</v>
      </c>
      <c r="N128">
        <f t="shared" si="5"/>
        <v>1.9415942884653418E-2</v>
      </c>
    </row>
    <row r="129" spans="1:14" x14ac:dyDescent="0.35">
      <c r="A129" t="s">
        <v>200</v>
      </c>
      <c r="B129">
        <v>4.1421251808060333E-5</v>
      </c>
      <c r="J129">
        <f t="shared" si="3"/>
        <v>9.9831657247437219E-10</v>
      </c>
      <c r="L129">
        <f t="shared" si="4"/>
        <v>-0.12476223792860375</v>
      </c>
      <c r="N129">
        <f t="shared" si="5"/>
        <v>6.2341542223261569E-2</v>
      </c>
    </row>
    <row r="130" spans="1:14" x14ac:dyDescent="0.35">
      <c r="A130" t="s">
        <v>202</v>
      </c>
      <c r="B130">
        <v>3.9151273085735738E-5</v>
      </c>
      <c r="J130">
        <f t="shared" si="3"/>
        <v>1.1469145434990103E-9</v>
      </c>
      <c r="L130">
        <f t="shared" si="4"/>
        <v>-0.15363045796342559</v>
      </c>
      <c r="N130">
        <f t="shared" si="5"/>
        <v>8.2281670493440595E-2</v>
      </c>
    </row>
    <row r="131" spans="1:14" x14ac:dyDescent="0.35">
      <c r="A131" t="s">
        <v>203</v>
      </c>
      <c r="B131">
        <v>7.0041678554844111E-5</v>
      </c>
      <c r="J131">
        <f t="shared" ref="J131:J188" si="6">(B131-$E$4)^2</f>
        <v>8.8549173569967852E-12</v>
      </c>
      <c r="L131">
        <f t="shared" ref="L131:L188" si="7">((B131 - $E$4) / $E$7)^3</f>
        <v>-1.0422154423986348E-4</v>
      </c>
      <c r="N131">
        <f t="shared" ref="N131:N188" si="8">((B131 - $E$4) / $E$7)^4</f>
        <v>4.904672404247714E-6</v>
      </c>
    </row>
    <row r="132" spans="1:14" x14ac:dyDescent="0.35">
      <c r="A132" t="s">
        <v>204</v>
      </c>
      <c r="B132">
        <v>4.3797750549856573E-5</v>
      </c>
      <c r="J132">
        <f t="shared" si="6"/>
        <v>8.5378790650531339E-10</v>
      </c>
      <c r="L132">
        <f t="shared" si="7"/>
        <v>-9.8674681616497922E-2</v>
      </c>
      <c r="N132">
        <f t="shared" si="8"/>
        <v>4.5597494368335614E-2</v>
      </c>
    </row>
    <row r="133" spans="1:14" x14ac:dyDescent="0.35">
      <c r="A133" t="s">
        <v>205</v>
      </c>
      <c r="B133">
        <v>6.0820122598670423E-5</v>
      </c>
      <c r="J133">
        <f t="shared" si="6"/>
        <v>1.4877357288092793E-10</v>
      </c>
      <c r="L133">
        <f t="shared" si="7"/>
        <v>-7.1774375891376077E-3</v>
      </c>
      <c r="N133">
        <f t="shared" si="8"/>
        <v>1.3844987450155367E-3</v>
      </c>
    </row>
    <row r="134" spans="1:14" x14ac:dyDescent="0.35">
      <c r="A134" t="s">
        <v>206</v>
      </c>
      <c r="B134">
        <v>5.174425314180553E-5</v>
      </c>
      <c r="J134">
        <f t="shared" si="6"/>
        <v>4.5254677180167288E-10</v>
      </c>
      <c r="L134">
        <f t="shared" si="7"/>
        <v>-3.8078158934345865E-2</v>
      </c>
      <c r="N134">
        <f t="shared" si="8"/>
        <v>1.2810554339380652E-2</v>
      </c>
    </row>
    <row r="135" spans="1:14" x14ac:dyDescent="0.35">
      <c r="A135" t="s">
        <v>207</v>
      </c>
      <c r="B135">
        <v>8.357338811038062E-5</v>
      </c>
      <c r="J135">
        <f t="shared" si="6"/>
        <v>1.1142888769017512E-10</v>
      </c>
      <c r="L135">
        <f t="shared" si="7"/>
        <v>4.6524040844344002E-3</v>
      </c>
      <c r="N135">
        <f t="shared" si="8"/>
        <v>7.7667007310780445E-4</v>
      </c>
    </row>
    <row r="136" spans="1:14" x14ac:dyDescent="0.35">
      <c r="A136" t="s">
        <v>208</v>
      </c>
      <c r="B136">
        <v>5.2566960221156478E-5</v>
      </c>
      <c r="J136">
        <f t="shared" si="6"/>
        <v>4.1822048191018694E-10</v>
      </c>
      <c r="L136">
        <f t="shared" si="7"/>
        <v>-3.3828962805877202E-2</v>
      </c>
      <c r="N136">
        <f t="shared" si="8"/>
        <v>1.0940862920363387E-2</v>
      </c>
    </row>
    <row r="137" spans="1:14" x14ac:dyDescent="0.35">
      <c r="A137" t="s">
        <v>209</v>
      </c>
      <c r="B137">
        <v>1.089685247279E-4</v>
      </c>
      <c r="J137">
        <f t="shared" si="6"/>
        <v>1.2924833784090918E-9</v>
      </c>
      <c r="L137">
        <f t="shared" si="7"/>
        <v>0.18378843742829443</v>
      </c>
      <c r="N137">
        <f t="shared" si="8"/>
        <v>0.10449389406242937</v>
      </c>
    </row>
    <row r="138" spans="1:14" x14ac:dyDescent="0.35">
      <c r="A138" t="s">
        <v>210</v>
      </c>
      <c r="B138">
        <v>5.0296552217332653E-5</v>
      </c>
      <c r="J138">
        <f t="shared" si="6"/>
        <v>5.1623691814370744E-10</v>
      </c>
      <c r="L138">
        <f t="shared" si="7"/>
        <v>-4.6393199490824787E-2</v>
      </c>
      <c r="N138">
        <f t="shared" si="8"/>
        <v>1.6670134326857645E-2</v>
      </c>
    </row>
    <row r="139" spans="1:14" x14ac:dyDescent="0.35">
      <c r="A139" t="s">
        <v>211</v>
      </c>
      <c r="B139">
        <v>7.0932605012785643E-5</v>
      </c>
      <c r="J139">
        <f t="shared" si="6"/>
        <v>4.3463696047409465E-12</v>
      </c>
      <c r="L139">
        <f t="shared" si="7"/>
        <v>-3.5840224198341196E-5</v>
      </c>
      <c r="N139">
        <f t="shared" si="8"/>
        <v>1.1816647770148818E-6</v>
      </c>
    </row>
    <row r="140" spans="1:14" x14ac:dyDescent="0.35">
      <c r="A140" t="s">
        <v>212</v>
      </c>
      <c r="B140">
        <v>7.2467184509150684E-5</v>
      </c>
      <c r="J140">
        <f t="shared" si="6"/>
        <v>3.0273694544529135E-13</v>
      </c>
      <c r="L140">
        <f t="shared" si="7"/>
        <v>-6.5883835227959683E-7</v>
      </c>
      <c r="N140">
        <f t="shared" si="8"/>
        <v>5.7328665165865301E-9</v>
      </c>
    </row>
    <row r="141" spans="1:14" x14ac:dyDescent="0.35">
      <c r="A141" t="s">
        <v>213</v>
      </c>
      <c r="B141">
        <v>2.8880916943307969E-5</v>
      </c>
      <c r="J141">
        <f t="shared" si="6"/>
        <v>1.9480291253090993E-9</v>
      </c>
      <c r="L141">
        <f t="shared" si="7"/>
        <v>-0.340074371474196</v>
      </c>
      <c r="N141">
        <f t="shared" si="8"/>
        <v>0.23737330252962646</v>
      </c>
    </row>
    <row r="142" spans="1:14" x14ac:dyDescent="0.35">
      <c r="A142" t="s">
        <v>214</v>
      </c>
      <c r="B142">
        <v>2.7596137442742471E-5</v>
      </c>
      <c r="J142">
        <f t="shared" si="6"/>
        <v>2.0630910806616932E-9</v>
      </c>
      <c r="L142">
        <f t="shared" si="7"/>
        <v>-0.37064516362992517</v>
      </c>
      <c r="N142">
        <f t="shared" si="8"/>
        <v>0.26624274572943368</v>
      </c>
    </row>
    <row r="143" spans="1:14" x14ac:dyDescent="0.35">
      <c r="A143" t="s">
        <v>215</v>
      </c>
      <c r="B143">
        <v>6.1106700741220266E-5</v>
      </c>
      <c r="J143">
        <f t="shared" si="6"/>
        <v>1.4186475378243936E-10</v>
      </c>
      <c r="L143">
        <f t="shared" si="7"/>
        <v>-6.6833237320741441E-3</v>
      </c>
      <c r="N143">
        <f t="shared" si="8"/>
        <v>1.2588964178436854E-3</v>
      </c>
    </row>
    <row r="144" spans="1:14" x14ac:dyDescent="0.35">
      <c r="A144" t="s">
        <v>216</v>
      </c>
      <c r="B144">
        <v>5.6310851505259052E-5</v>
      </c>
      <c r="J144">
        <f t="shared" si="6"/>
        <v>2.7910875832812575E-10</v>
      </c>
      <c r="L144">
        <f t="shared" si="7"/>
        <v>-1.8443397753156645E-2</v>
      </c>
      <c r="N144">
        <f t="shared" si="8"/>
        <v>4.8729046099814047E-3</v>
      </c>
    </row>
    <row r="145" spans="1:14" x14ac:dyDescent="0.35">
      <c r="A145" t="s">
        <v>217</v>
      </c>
      <c r="B145">
        <v>8.3552491560112685E-5</v>
      </c>
      <c r="J145">
        <f t="shared" si="6"/>
        <v>1.1098815687828346E-10</v>
      </c>
      <c r="L145">
        <f t="shared" si="7"/>
        <v>4.6248291574053522E-3</v>
      </c>
      <c r="N145">
        <f t="shared" si="8"/>
        <v>7.7053835106497676E-4</v>
      </c>
    </row>
    <row r="146" spans="1:14" x14ac:dyDescent="0.35">
      <c r="A146" t="s">
        <v>218</v>
      </c>
      <c r="B146">
        <v>7.2559683758299798E-5</v>
      </c>
      <c r="J146">
        <f t="shared" si="6"/>
        <v>2.0950404068249027E-13</v>
      </c>
      <c r="L146">
        <f t="shared" si="7"/>
        <v>-3.7928820795849969E-7</v>
      </c>
      <c r="N146">
        <f t="shared" si="8"/>
        <v>2.7455274339604569E-9</v>
      </c>
    </row>
    <row r="147" spans="1:14" x14ac:dyDescent="0.35">
      <c r="A147" t="s">
        <v>220</v>
      </c>
      <c r="B147">
        <v>5.8578498283168301E-5</v>
      </c>
      <c r="J147">
        <f t="shared" si="6"/>
        <v>2.0848187909012662E-10</v>
      </c>
      <c r="L147">
        <f t="shared" si="7"/>
        <v>-1.1906475002935974E-2</v>
      </c>
      <c r="N147">
        <f t="shared" si="8"/>
        <v>2.7188021584362535E-3</v>
      </c>
    </row>
    <row r="148" spans="1:14" x14ac:dyDescent="0.35">
      <c r="A148" t="s">
        <v>221</v>
      </c>
      <c r="B148">
        <v>4.911161886411719E-5</v>
      </c>
      <c r="J148">
        <f t="shared" si="6"/>
        <v>5.7148636559380421E-10</v>
      </c>
      <c r="L148">
        <f t="shared" si="7"/>
        <v>-5.4036790421315109E-2</v>
      </c>
      <c r="N148">
        <f t="shared" si="8"/>
        <v>2.0429264323845162E-2</v>
      </c>
    </row>
    <row r="149" spans="1:14" x14ac:dyDescent="0.35">
      <c r="A149" t="s">
        <v>222</v>
      </c>
      <c r="B149">
        <v>6.2196260842029005E-5</v>
      </c>
      <c r="J149">
        <f t="shared" si="6"/>
        <v>1.1709704990458268E-10</v>
      </c>
      <c r="L149">
        <f t="shared" si="7"/>
        <v>-5.0118684821155238E-3</v>
      </c>
      <c r="N149">
        <f t="shared" si="8"/>
        <v>8.5769501916056637E-4</v>
      </c>
    </row>
    <row r="150" spans="1:14" x14ac:dyDescent="0.35">
      <c r="A150" t="s">
        <v>223</v>
      </c>
      <c r="B150">
        <v>6.4388623286504298E-5</v>
      </c>
      <c r="J150">
        <f t="shared" si="6"/>
        <v>7.4455785361299306E-11</v>
      </c>
      <c r="L150">
        <f t="shared" si="7"/>
        <v>-2.5411389251983477E-3</v>
      </c>
      <c r="N150">
        <f t="shared" si="8"/>
        <v>3.4676709351959251E-4</v>
      </c>
    </row>
    <row r="151" spans="1:14" x14ac:dyDescent="0.35">
      <c r="A151" t="s">
        <v>224</v>
      </c>
      <c r="B151">
        <v>7.6995536801405251E-5</v>
      </c>
      <c r="J151">
        <f t="shared" si="6"/>
        <v>1.5825573429604767E-11</v>
      </c>
      <c r="L151">
        <f t="shared" si="7"/>
        <v>2.4901179471042804E-4</v>
      </c>
      <c r="N151">
        <f t="shared" si="8"/>
        <v>1.5666063812092307E-5</v>
      </c>
    </row>
    <row r="152" spans="1:14" x14ac:dyDescent="0.35">
      <c r="A152" t="s">
        <v>225</v>
      </c>
      <c r="B152">
        <v>5.0339785957476131E-5</v>
      </c>
      <c r="J152">
        <f t="shared" si="6"/>
        <v>5.1427417285331681E-10</v>
      </c>
      <c r="L152">
        <f t="shared" si="7"/>
        <v>-4.6128869031865152E-2</v>
      </c>
      <c r="N152">
        <f t="shared" si="8"/>
        <v>1.6543614789630821E-2</v>
      </c>
    </row>
    <row r="153" spans="1:14" x14ac:dyDescent="0.35">
      <c r="A153" t="s">
        <v>226</v>
      </c>
      <c r="B153">
        <v>9.8872784292325377E-5</v>
      </c>
      <c r="J153">
        <f t="shared" si="6"/>
        <v>6.68500903526099E-10</v>
      </c>
      <c r="L153">
        <f t="shared" si="7"/>
        <v>6.8364986635130076E-2</v>
      </c>
      <c r="N153">
        <f t="shared" si="8"/>
        <v>2.7954065448798721E-2</v>
      </c>
    </row>
    <row r="154" spans="1:14" x14ac:dyDescent="0.35">
      <c r="A154" t="s">
        <v>227</v>
      </c>
      <c r="B154">
        <v>1.288225466851E-4</v>
      </c>
      <c r="J154">
        <f t="shared" si="6"/>
        <v>3.1142144108387563E-9</v>
      </c>
      <c r="L154">
        <f t="shared" si="7"/>
        <v>0.68739045996371517</v>
      </c>
      <c r="N154">
        <f t="shared" si="8"/>
        <v>0.60664971872912676</v>
      </c>
    </row>
    <row r="155" spans="1:14" x14ac:dyDescent="0.35">
      <c r="A155" t="s">
        <v>228</v>
      </c>
      <c r="B155">
        <v>6.4779218519106507E-5</v>
      </c>
      <c r="J155">
        <f t="shared" si="6"/>
        <v>6.786763200211228E-11</v>
      </c>
      <c r="L155">
        <f t="shared" si="7"/>
        <v>-2.2114380603615452E-3</v>
      </c>
      <c r="N155">
        <f t="shared" si="8"/>
        <v>2.8811533419692299E-4</v>
      </c>
    </row>
    <row r="156" spans="1:14" x14ac:dyDescent="0.35">
      <c r="A156" t="s">
        <v>229</v>
      </c>
      <c r="B156">
        <v>1.105854898924E-4</v>
      </c>
      <c r="J156">
        <f t="shared" si="6"/>
        <v>1.4113613877856654E-9</v>
      </c>
      <c r="L156">
        <f t="shared" si="7"/>
        <v>0.20971914719711438</v>
      </c>
      <c r="N156">
        <f t="shared" si="8"/>
        <v>0.12459982835075001</v>
      </c>
    </row>
    <row r="157" spans="1:14" x14ac:dyDescent="0.35">
      <c r="A157" t="s">
        <v>230</v>
      </c>
      <c r="B157">
        <v>9.1462767159100622E-5</v>
      </c>
      <c r="J157">
        <f t="shared" si="6"/>
        <v>3.4023157435839225E-10</v>
      </c>
      <c r="L157">
        <f t="shared" si="7"/>
        <v>2.4822336430262461E-2</v>
      </c>
      <c r="N157">
        <f t="shared" si="8"/>
        <v>7.240860991299029E-3</v>
      </c>
    </row>
    <row r="158" spans="1:14" x14ac:dyDescent="0.35">
      <c r="A158" t="s">
        <v>231</v>
      </c>
      <c r="B158">
        <v>1.3081067299930001E-4</v>
      </c>
      <c r="J158">
        <f t="shared" si="6"/>
        <v>3.3400624187740618E-9</v>
      </c>
      <c r="L158">
        <f t="shared" si="7"/>
        <v>0.76350627333658005</v>
      </c>
      <c r="N158">
        <f t="shared" si="8"/>
        <v>0.69783082005569541</v>
      </c>
    </row>
    <row r="159" spans="1:14" x14ac:dyDescent="0.35">
      <c r="A159" t="s">
        <v>232</v>
      </c>
      <c r="B159">
        <v>7.7153454185463488E-5</v>
      </c>
      <c r="J159">
        <f t="shared" si="6"/>
        <v>1.7106945284446979E-11</v>
      </c>
      <c r="L159">
        <f t="shared" si="7"/>
        <v>2.7985910109230139E-4</v>
      </c>
      <c r="N159">
        <f t="shared" si="8"/>
        <v>1.8305681976743735E-5</v>
      </c>
    </row>
    <row r="160" spans="1:14" x14ac:dyDescent="0.35">
      <c r="A160" t="s">
        <v>233</v>
      </c>
      <c r="B160">
        <v>7.4239193054381758E-5</v>
      </c>
      <c r="J160">
        <f t="shared" si="6"/>
        <v>1.4927785806702353E-12</v>
      </c>
      <c r="L160">
        <f t="shared" si="7"/>
        <v>7.2139616250300281E-6</v>
      </c>
      <c r="N160">
        <f t="shared" si="8"/>
        <v>1.3939004885953862E-7</v>
      </c>
    </row>
    <row r="161" spans="1:14" x14ac:dyDescent="0.35">
      <c r="A161" t="s">
        <v>234</v>
      </c>
      <c r="B161">
        <v>4.3645628466038033E-5</v>
      </c>
      <c r="J161">
        <f t="shared" si="6"/>
        <v>8.6270095552034214E-10</v>
      </c>
      <c r="L161">
        <f t="shared" si="7"/>
        <v>-0.10022386667028736</v>
      </c>
      <c r="N161">
        <f t="shared" si="8"/>
        <v>4.6554486275192722E-2</v>
      </c>
    </row>
    <row r="162" spans="1:14" x14ac:dyDescent="0.35">
      <c r="A162" t="s">
        <v>236</v>
      </c>
      <c r="B162">
        <v>2.2071355488151308E-5</v>
      </c>
      <c r="J162">
        <f t="shared" si="6"/>
        <v>2.5954994383545884E-9</v>
      </c>
      <c r="L162">
        <f t="shared" si="7"/>
        <v>-0.52301259103453146</v>
      </c>
      <c r="N162">
        <f t="shared" si="8"/>
        <v>0.42138867440231575</v>
      </c>
    </row>
    <row r="163" spans="1:14" x14ac:dyDescent="0.35">
      <c r="A163" t="s">
        <v>237</v>
      </c>
      <c r="B163">
        <v>5.8590969274519011E-5</v>
      </c>
      <c r="J163">
        <f t="shared" si="6"/>
        <v>2.0812189978209732E-10</v>
      </c>
      <c r="L163">
        <f t="shared" si="7"/>
        <v>-1.1875650497068077E-2</v>
      </c>
      <c r="N163">
        <f t="shared" si="8"/>
        <v>2.7094213185533131E-3</v>
      </c>
    </row>
    <row r="164" spans="1:14" x14ac:dyDescent="0.35">
      <c r="A164" t="s">
        <v>238</v>
      </c>
      <c r="B164">
        <v>7.2462462412659079E-5</v>
      </c>
      <c r="J164">
        <f t="shared" si="6"/>
        <v>3.0795558370904156E-13</v>
      </c>
      <c r="L164">
        <f t="shared" si="7"/>
        <v>-6.7594733442017263E-7</v>
      </c>
      <c r="N164">
        <f t="shared" si="8"/>
        <v>5.9322186014086695E-9</v>
      </c>
    </row>
    <row r="165" spans="1:14" x14ac:dyDescent="0.35">
      <c r="A165" t="s">
        <v>239</v>
      </c>
      <c r="B165">
        <v>4.5368851715466008E-5</v>
      </c>
      <c r="J165">
        <f t="shared" si="6"/>
        <v>7.6444221516065599E-10</v>
      </c>
      <c r="L165">
        <f t="shared" si="7"/>
        <v>-8.3598354439344796E-2</v>
      </c>
      <c r="N165">
        <f t="shared" si="8"/>
        <v>3.6553612622856127E-2</v>
      </c>
    </row>
    <row r="166" spans="1:14" x14ac:dyDescent="0.35">
      <c r="A166" t="s">
        <v>240</v>
      </c>
      <c r="B166">
        <v>4.707679909188301E-5</v>
      </c>
      <c r="J166">
        <f t="shared" si="6"/>
        <v>6.7291476883010063E-10</v>
      </c>
      <c r="L166">
        <f t="shared" si="7"/>
        <v>-6.9043186290207212E-2</v>
      </c>
      <c r="N166">
        <f t="shared" si="8"/>
        <v>2.8324424900464509E-2</v>
      </c>
    </row>
    <row r="167" spans="1:14" x14ac:dyDescent="0.35">
      <c r="A167" t="s">
        <v>241</v>
      </c>
      <c r="B167">
        <v>2.3438198695657771E-5</v>
      </c>
      <c r="J167">
        <f t="shared" si="6"/>
        <v>2.4580971892778967E-9</v>
      </c>
      <c r="L167">
        <f t="shared" si="7"/>
        <v>-0.4820358187692399</v>
      </c>
      <c r="N167">
        <f t="shared" si="8"/>
        <v>0.37795411742969376</v>
      </c>
    </row>
    <row r="168" spans="1:14" x14ac:dyDescent="0.35">
      <c r="A168" t="s">
        <v>242</v>
      </c>
      <c r="B168">
        <v>3.9660884795011953E-5</v>
      </c>
      <c r="J168">
        <f t="shared" si="6"/>
        <v>1.1126570980770804E-9</v>
      </c>
      <c r="L168">
        <f t="shared" si="7"/>
        <v>-0.14679888251216566</v>
      </c>
      <c r="N168">
        <f t="shared" si="8"/>
        <v>7.7439700758449873E-2</v>
      </c>
    </row>
    <row r="169" spans="1:14" x14ac:dyDescent="0.35">
      <c r="A169" t="s">
        <v>243</v>
      </c>
      <c r="B169">
        <v>5.7094228395726532E-5</v>
      </c>
      <c r="J169">
        <f t="shared" si="6"/>
        <v>2.5354738986077989E-10</v>
      </c>
      <c r="L169">
        <f t="shared" si="7"/>
        <v>-1.5968695936467669E-2</v>
      </c>
      <c r="N169">
        <f t="shared" si="8"/>
        <v>4.0212332844552926E-3</v>
      </c>
    </row>
    <row r="170" spans="1:14" x14ac:dyDescent="0.35">
      <c r="A170" t="s">
        <v>244</v>
      </c>
      <c r="B170">
        <v>4.4161759433336563E-5</v>
      </c>
      <c r="J170">
        <f t="shared" si="6"/>
        <v>8.3264798512175161E-10</v>
      </c>
      <c r="L170">
        <f t="shared" si="7"/>
        <v>-9.5032660670042957E-2</v>
      </c>
      <c r="N170">
        <f t="shared" si="8"/>
        <v>4.3367446502302481E-2</v>
      </c>
    </row>
    <row r="171" spans="1:14" x14ac:dyDescent="0.35">
      <c r="A171" t="s">
        <v>245</v>
      </c>
      <c r="B171">
        <v>4.4595795770874247E-5</v>
      </c>
      <c r="J171">
        <f t="shared" si="6"/>
        <v>8.0778757967750651E-10</v>
      </c>
      <c r="L171">
        <f t="shared" si="7"/>
        <v>-9.0808497985496534E-2</v>
      </c>
      <c r="N171">
        <f t="shared" si="8"/>
        <v>4.0816458806063431E-2</v>
      </c>
    </row>
    <row r="172" spans="1:14" x14ac:dyDescent="0.35">
      <c r="A172" t="s">
        <v>246</v>
      </c>
      <c r="B172">
        <v>3.7012341636000201E-5</v>
      </c>
      <c r="J172">
        <f t="shared" si="6"/>
        <v>1.2963642185731488E-9</v>
      </c>
      <c r="L172">
        <f t="shared" si="7"/>
        <v>-0.18461682953971914</v>
      </c>
      <c r="N172">
        <f t="shared" si="8"/>
        <v>0.10512234766691297</v>
      </c>
    </row>
    <row r="173" spans="1:14" x14ac:dyDescent="0.35">
      <c r="A173" t="s">
        <v>247</v>
      </c>
      <c r="B173">
        <v>3.7357065593823791E-5</v>
      </c>
      <c r="J173">
        <f t="shared" si="6"/>
        <v>1.271659440826725E-9</v>
      </c>
      <c r="L173">
        <f t="shared" si="7"/>
        <v>-0.17936469571602792</v>
      </c>
      <c r="N173">
        <f t="shared" si="8"/>
        <v>0.10115389730668359</v>
      </c>
    </row>
    <row r="174" spans="1:14" x14ac:dyDescent="0.35">
      <c r="A174" t="s">
        <v>248</v>
      </c>
      <c r="B174">
        <v>6.3445237174164504E-5</v>
      </c>
      <c r="J174">
        <f t="shared" si="6"/>
        <v>9.1626298712613558E-11</v>
      </c>
      <c r="L174">
        <f t="shared" si="7"/>
        <v>-3.4690531232683727E-3</v>
      </c>
      <c r="N174">
        <f t="shared" si="8"/>
        <v>5.2514745759553764E-4</v>
      </c>
    </row>
    <row r="175" spans="1:14" x14ac:dyDescent="0.35">
      <c r="A175" t="s">
        <v>249</v>
      </c>
      <c r="B175">
        <v>2.5074620498339998E-4</v>
      </c>
      <c r="J175">
        <f t="shared" si="6"/>
        <v>3.1587528166348648E-8</v>
      </c>
      <c r="L175">
        <f t="shared" si="7"/>
        <v>22.205174919582351</v>
      </c>
      <c r="N175">
        <f t="shared" si="8"/>
        <v>62.412598556010252</v>
      </c>
    </row>
    <row r="176" spans="1:14" x14ac:dyDescent="0.35">
      <c r="A176" t="s">
        <v>250</v>
      </c>
      <c r="B176">
        <v>1.034011147567E-4</v>
      </c>
      <c r="J176">
        <f t="shared" si="6"/>
        <v>9.2317013019861215E-10</v>
      </c>
      <c r="L176">
        <f t="shared" si="7"/>
        <v>0.11094388034526556</v>
      </c>
      <c r="N176">
        <f t="shared" si="8"/>
        <v>5.3309482761580242E-2</v>
      </c>
    </row>
    <row r="177" spans="1:14" x14ac:dyDescent="0.35">
      <c r="A177" t="s">
        <v>251</v>
      </c>
      <c r="B177">
        <v>3.136722807539627E-5</v>
      </c>
      <c r="J177">
        <f t="shared" si="6"/>
        <v>1.7347368106812974E-9</v>
      </c>
      <c r="L177">
        <f t="shared" si="7"/>
        <v>-0.28577953594248412</v>
      </c>
      <c r="N177">
        <f t="shared" si="8"/>
        <v>0.18823837666334345</v>
      </c>
    </row>
    <row r="178" spans="1:14" x14ac:dyDescent="0.35">
      <c r="A178" t="s">
        <v>252</v>
      </c>
      <c r="B178">
        <v>1.102747919503E-4</v>
      </c>
      <c r="J178">
        <f t="shared" si="6"/>
        <v>1.388113264480919E-9</v>
      </c>
      <c r="L178">
        <f t="shared" si="7"/>
        <v>0.20455876439980075</v>
      </c>
      <c r="N178">
        <f t="shared" si="8"/>
        <v>0.12052878787387784</v>
      </c>
    </row>
    <row r="179" spans="1:14" x14ac:dyDescent="0.35">
      <c r="A179" t="s">
        <v>253</v>
      </c>
      <c r="B179">
        <v>7.3257782787550241E-5</v>
      </c>
      <c r="J179">
        <f t="shared" si="6"/>
        <v>5.7783946119065872E-14</v>
      </c>
      <c r="L179">
        <f t="shared" si="7"/>
        <v>5.4940363778878513E-8</v>
      </c>
      <c r="N179">
        <f t="shared" si="8"/>
        <v>2.0886004838351373E-10</v>
      </c>
    </row>
    <row r="180" spans="1:14" x14ac:dyDescent="0.35">
      <c r="A180" t="s">
        <v>254</v>
      </c>
      <c r="B180">
        <v>1.2549698294599999E-4</v>
      </c>
      <c r="J180">
        <f t="shared" si="6"/>
        <v>2.7541066396275537E-9</v>
      </c>
      <c r="L180">
        <f t="shared" si="7"/>
        <v>0.57167850575457801</v>
      </c>
      <c r="N180">
        <f t="shared" si="8"/>
        <v>0.47446314683226237</v>
      </c>
    </row>
    <row r="181" spans="1:14" x14ac:dyDescent="0.35">
      <c r="A181" t="s">
        <v>255</v>
      </c>
      <c r="B181">
        <v>5.6606833823025233E-5</v>
      </c>
      <c r="J181">
        <f t="shared" si="6"/>
        <v>2.6930667804567209E-10</v>
      </c>
      <c r="L181">
        <f t="shared" si="7"/>
        <v>-1.7480402146453657E-2</v>
      </c>
      <c r="N181">
        <f t="shared" si="8"/>
        <v>4.5366494897347131E-3</v>
      </c>
    </row>
    <row r="182" spans="1:14" x14ac:dyDescent="0.35">
      <c r="A182" t="s">
        <v>256</v>
      </c>
      <c r="B182">
        <v>4.0127280954038718E-5</v>
      </c>
      <c r="J182">
        <f t="shared" si="6"/>
        <v>1.0817599224334434E-9</v>
      </c>
      <c r="L182">
        <f t="shared" si="7"/>
        <v>-0.14072688237910141</v>
      </c>
      <c r="N182">
        <f t="shared" si="8"/>
        <v>7.319859672890347E-2</v>
      </c>
    </row>
    <row r="183" spans="1:14" x14ac:dyDescent="0.35">
      <c r="A183" t="s">
        <v>257</v>
      </c>
      <c r="B183">
        <v>3.4361612051725388E-5</v>
      </c>
      <c r="J183">
        <f t="shared" si="6"/>
        <v>1.4942699320011651E-9</v>
      </c>
      <c r="L183">
        <f t="shared" si="7"/>
        <v>-0.22846744332898061</v>
      </c>
      <c r="N183">
        <f t="shared" si="8"/>
        <v>0.13966870153846705</v>
      </c>
    </row>
    <row r="184" spans="1:14" x14ac:dyDescent="0.35">
      <c r="A184" t="s">
        <v>258</v>
      </c>
      <c r="B184">
        <v>3.35477598127909E-5</v>
      </c>
      <c r="J184">
        <f t="shared" si="6"/>
        <v>1.5578524863984942E-9</v>
      </c>
      <c r="L184">
        <f t="shared" si="7"/>
        <v>-0.24320373092265313</v>
      </c>
      <c r="N184">
        <f t="shared" si="8"/>
        <v>0.15180764534095784</v>
      </c>
    </row>
    <row r="185" spans="1:14" x14ac:dyDescent="0.35">
      <c r="A185" t="s">
        <v>259</v>
      </c>
      <c r="B185">
        <v>8.511960186297074E-5</v>
      </c>
      <c r="J185">
        <f t="shared" si="6"/>
        <v>1.4646329303179831E-10</v>
      </c>
      <c r="L185">
        <f t="shared" si="7"/>
        <v>7.0109024931000767E-3</v>
      </c>
      <c r="N185">
        <f t="shared" si="8"/>
        <v>1.3418333120662957E-3</v>
      </c>
    </row>
    <row r="186" spans="1:14" x14ac:dyDescent="0.35">
      <c r="A186" t="s">
        <v>260</v>
      </c>
      <c r="B186">
        <v>5.3409425163408741E-5</v>
      </c>
      <c r="J186">
        <f t="shared" si="6"/>
        <v>3.8447267217025585E-10</v>
      </c>
      <c r="L186">
        <f t="shared" si="7"/>
        <v>-2.9818030152049795E-2</v>
      </c>
      <c r="N186">
        <f t="shared" si="8"/>
        <v>9.2463841520179276E-3</v>
      </c>
    </row>
    <row r="187" spans="1:14" x14ac:dyDescent="0.35">
      <c r="A187" t="s">
        <v>261</v>
      </c>
      <c r="B187">
        <v>5.5011278163874522E-5</v>
      </c>
      <c r="J187">
        <f t="shared" si="6"/>
        <v>3.242204189655331E-10</v>
      </c>
      <c r="L187">
        <f t="shared" si="7"/>
        <v>-2.3090922270877171E-2</v>
      </c>
      <c r="N187">
        <f t="shared" si="8"/>
        <v>6.5753928610836777E-3</v>
      </c>
    </row>
    <row r="188" spans="1:14" x14ac:dyDescent="0.35">
      <c r="A188" t="s">
        <v>262</v>
      </c>
      <c r="B188">
        <v>4.352751057012938E-5</v>
      </c>
      <c r="J188">
        <f t="shared" si="6"/>
        <v>8.6965357103282544E-10</v>
      </c>
      <c r="L188">
        <f t="shared" si="7"/>
        <v>-0.1014378795821592</v>
      </c>
      <c r="N188">
        <f t="shared" si="8"/>
        <v>4.7307886887371656E-2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23"/>
  <sheetViews>
    <sheetView tabSelected="1" topLeftCell="C1" zoomScaleNormal="100" workbookViewId="0">
      <selection activeCell="M2" sqref="M2"/>
    </sheetView>
  </sheetViews>
  <sheetFormatPr defaultRowHeight="14.5" x14ac:dyDescent="0.35"/>
  <cols>
    <col min="1" max="1" width="10.08984375" bestFit="1" customWidth="1"/>
    <col min="2" max="2" width="12.453125" bestFit="1" customWidth="1"/>
    <col min="4" max="4" width="18.1796875" bestFit="1" customWidth="1"/>
    <col min="5" max="5" width="12.453125" bestFit="1" customWidth="1"/>
    <col min="6" max="6" width="15.36328125" bestFit="1" customWidth="1"/>
    <col min="7" max="7" width="9.81640625" bestFit="1" customWidth="1"/>
    <col min="10" max="10" width="14.54296875" bestFit="1" customWidth="1"/>
    <col min="11" max="11" width="20.81640625" bestFit="1" customWidth="1"/>
    <col min="12" max="12" width="14.54296875" bestFit="1" customWidth="1"/>
    <col min="13" max="13" width="20.81640625" bestFit="1" customWidth="1"/>
    <col min="14" max="14" width="14.54296875" bestFit="1" customWidth="1"/>
    <col min="15" max="15" width="20.81640625" bestFit="1" customWidth="1"/>
  </cols>
  <sheetData>
    <row r="1" spans="1:15" x14ac:dyDescent="0.35">
      <c r="A1" s="1" t="s">
        <v>0</v>
      </c>
      <c r="B1" s="1" t="s">
        <v>4</v>
      </c>
      <c r="J1" t="s">
        <v>271</v>
      </c>
      <c r="K1" t="s">
        <v>272</v>
      </c>
      <c r="L1" t="s">
        <v>273</v>
      </c>
      <c r="M1" t="s">
        <v>274</v>
      </c>
      <c r="N1" t="s">
        <v>277</v>
      </c>
      <c r="O1" t="s">
        <v>278</v>
      </c>
    </row>
    <row r="2" spans="1:15" x14ac:dyDescent="0.35">
      <c r="A2" t="s">
        <v>5</v>
      </c>
      <c r="B2">
        <v>3.4663605038069998E-4</v>
      </c>
      <c r="D2" t="s">
        <v>263</v>
      </c>
      <c r="E2">
        <f>MIN(B2:B223)</f>
        <v>-1.0858937166631001E-3</v>
      </c>
      <c r="F2" t="s">
        <v>266</v>
      </c>
      <c r="G2">
        <f>COUNT(B2:B223)</f>
        <v>222</v>
      </c>
      <c r="J2">
        <f>(B2-$E$4)^2</f>
        <v>5.5913373975601738E-8</v>
      </c>
      <c r="K2">
        <f>SUM(J2:J223)</f>
        <v>2.2631920549126155E-5</v>
      </c>
      <c r="L2">
        <f>((B2 - $E$4) / $E$7)^3</f>
        <v>0.40344082685552579</v>
      </c>
      <c r="M2">
        <f>SUM(L2:L223)</f>
        <v>-52.276393772227877</v>
      </c>
      <c r="N2">
        <f>((B2 - $E$4) / $E$7)^4</f>
        <v>0.29810765412213802</v>
      </c>
      <c r="O2">
        <f>SUM(N2:N223)</f>
        <v>901.04516866952906</v>
      </c>
    </row>
    <row r="3" spans="1:15" x14ac:dyDescent="0.35">
      <c r="A3" t="s">
        <v>6</v>
      </c>
      <c r="B3">
        <v>8.1744452472769995E-4</v>
      </c>
      <c r="D3" t="s">
        <v>264</v>
      </c>
      <c r="E3">
        <f>MAX(B2:B223)</f>
        <v>8.5776596097269999E-4</v>
      </c>
      <c r="F3" t="s">
        <v>267</v>
      </c>
      <c r="G3">
        <f>SUM(B2:B223)</f>
        <v>2.4459063292394521E-2</v>
      </c>
      <c r="J3">
        <f>(B3-$E$4)^2</f>
        <v>5.0022882155351923E-7</v>
      </c>
      <c r="L3">
        <f t="shared" ref="L3:L66" si="0">((B3 - $E$4) / $E$7)^3</f>
        <v>10.795912647260431</v>
      </c>
      <c r="N3">
        <f t="shared" ref="N3:N66" si="1">((B3 - $E$4) / $E$7)^4</f>
        <v>23.860478522103421</v>
      </c>
    </row>
    <row r="4" spans="1:15" x14ac:dyDescent="0.35">
      <c r="A4" t="s">
        <v>7</v>
      </c>
      <c r="B4">
        <v>-7.9877756070340002E-4</v>
      </c>
      <c r="D4" t="s">
        <v>265</v>
      </c>
      <c r="E4">
        <f>G3/G2</f>
        <v>1.101759607765519E-4</v>
      </c>
      <c r="J4">
        <f t="shared" ref="J4:J67" si="2">(B4-$E$4)^2</f>
        <v>8.2619650421080537E-7</v>
      </c>
      <c r="L4">
        <f t="shared" si="0"/>
        <v>-22.915604880723283</v>
      </c>
      <c r="N4">
        <f t="shared" si="1"/>
        <v>65.089125078201562</v>
      </c>
    </row>
    <row r="5" spans="1:15" x14ac:dyDescent="0.35">
      <c r="A5" t="s">
        <v>8</v>
      </c>
      <c r="B5">
        <v>-5.1346997497600001E-4</v>
      </c>
      <c r="D5" t="s">
        <v>268</v>
      </c>
      <c r="E5">
        <f>MEDIAN(B2:B223)</f>
        <v>8.419406003667973E-5</v>
      </c>
      <c r="J5">
        <f t="shared" si="2"/>
        <v>3.8893425318067604E-7</v>
      </c>
      <c r="L5">
        <f t="shared" si="0"/>
        <v>-7.4015143429037922</v>
      </c>
      <c r="N5">
        <f t="shared" si="1"/>
        <v>14.424278977882032</v>
      </c>
    </row>
    <row r="6" spans="1:15" x14ac:dyDescent="0.35">
      <c r="A6" t="s">
        <v>9</v>
      </c>
      <c r="B6">
        <v>3.2733147963880002E-4</v>
      </c>
      <c r="D6" t="s">
        <v>269</v>
      </c>
      <c r="E6">
        <f>K2/(G2-1)</f>
        <v>1.0240688031278803E-7</v>
      </c>
      <c r="J6">
        <f t="shared" si="2"/>
        <v>4.7156519372332191E-8</v>
      </c>
      <c r="L6">
        <f t="shared" si="0"/>
        <v>0.31247761357775911</v>
      </c>
      <c r="N6">
        <f t="shared" si="1"/>
        <v>0.21204362117201728</v>
      </c>
    </row>
    <row r="7" spans="1:15" x14ac:dyDescent="0.35">
      <c r="A7" t="s">
        <v>10</v>
      </c>
      <c r="B7">
        <v>-5.0312548410147429E-5</v>
      </c>
      <c r="D7" t="s">
        <v>270</v>
      </c>
      <c r="E7">
        <f>SQRT(E6)</f>
        <v>3.2001075030815455E-4</v>
      </c>
      <c r="J7">
        <f t="shared" si="2"/>
        <v>2.575656158096928E-8</v>
      </c>
      <c r="L7">
        <f t="shared" si="0"/>
        <v>-0.12613572977710122</v>
      </c>
      <c r="N7">
        <f t="shared" si="1"/>
        <v>6.3258297440351607E-2</v>
      </c>
    </row>
    <row r="8" spans="1:15" x14ac:dyDescent="0.35">
      <c r="A8" t="s">
        <v>11</v>
      </c>
      <c r="B8">
        <v>4.1422471986149998E-4</v>
      </c>
      <c r="D8" t="s">
        <v>275</v>
      </c>
      <c r="E8">
        <f>(G2 / ((G2 - 1)*(G2 - 2)))*M2</f>
        <v>-0.23869517518376365</v>
      </c>
      <c r="J8">
        <f t="shared" si="2"/>
        <v>9.2445647901096793E-8</v>
      </c>
      <c r="L8">
        <f t="shared" si="0"/>
        <v>0.8577011681652994</v>
      </c>
      <c r="N8">
        <f t="shared" si="1"/>
        <v>0.81491942253580085</v>
      </c>
    </row>
    <row r="9" spans="1:15" x14ac:dyDescent="0.35">
      <c r="A9" t="s">
        <v>12</v>
      </c>
      <c r="B9">
        <v>-5.3441361524160004E-4</v>
      </c>
      <c r="D9" t="s">
        <v>276</v>
      </c>
      <c r="E9">
        <f>((G2 * (G2 + 1)) / ((G2 - 1) * (G2 - 2) * (G2 - 3))) * O2 - (3 * (G2 - 1)^2 / ((G2 - 2) * (G2 - 3)))</f>
        <v>1.1481791622435571</v>
      </c>
      <c r="J9">
        <f t="shared" si="2"/>
        <v>4.154957215112608E-7</v>
      </c>
      <c r="L9">
        <f t="shared" si="0"/>
        <v>-8.1725225936069457</v>
      </c>
      <c r="N9">
        <f t="shared" si="1"/>
        <v>16.461705953750364</v>
      </c>
    </row>
    <row r="10" spans="1:15" x14ac:dyDescent="0.35">
      <c r="A10" t="s">
        <v>13</v>
      </c>
      <c r="B10">
        <v>5.8351481129648157E-5</v>
      </c>
      <c r="J10">
        <f t="shared" si="2"/>
        <v>2.68577669067234E-9</v>
      </c>
      <c r="L10">
        <f t="shared" si="0"/>
        <v>-4.2472824811680973E-3</v>
      </c>
      <c r="N10">
        <f t="shared" si="1"/>
        <v>6.8783065658884509E-4</v>
      </c>
    </row>
    <row r="11" spans="1:15" x14ac:dyDescent="0.35">
      <c r="A11" t="s">
        <v>14</v>
      </c>
      <c r="B11">
        <v>3.6491683567869997E-4</v>
      </c>
      <c r="J11">
        <f t="shared" si="2"/>
        <v>6.4892913345911844E-8</v>
      </c>
      <c r="L11">
        <f t="shared" si="0"/>
        <v>0.5044315058094655</v>
      </c>
      <c r="N11">
        <f t="shared" si="1"/>
        <v>0.40154689489141454</v>
      </c>
    </row>
    <row r="12" spans="1:15" x14ac:dyDescent="0.35">
      <c r="A12" t="s">
        <v>15</v>
      </c>
      <c r="B12">
        <v>1.653434264881071E-5</v>
      </c>
      <c r="J12">
        <f t="shared" si="2"/>
        <v>8.7687526455817078E-9</v>
      </c>
      <c r="L12">
        <f t="shared" si="0"/>
        <v>-2.505607410776375E-2</v>
      </c>
      <c r="N12">
        <f t="shared" si="1"/>
        <v>7.3319140720123736E-3</v>
      </c>
    </row>
    <row r="13" spans="1:15" x14ac:dyDescent="0.35">
      <c r="A13" t="s">
        <v>16</v>
      </c>
      <c r="B13">
        <v>6.489308434538E-4</v>
      </c>
      <c r="J13">
        <f t="shared" si="2"/>
        <v>2.9025682360857541E-7</v>
      </c>
      <c r="L13">
        <f t="shared" si="0"/>
        <v>4.7717749529652895</v>
      </c>
      <c r="N13">
        <f t="shared" si="1"/>
        <v>8.0335334124602866</v>
      </c>
    </row>
    <row r="14" spans="1:15" x14ac:dyDescent="0.35">
      <c r="A14" t="s">
        <v>17</v>
      </c>
      <c r="B14">
        <v>6.9190275098662823E-5</v>
      </c>
      <c r="J14">
        <f t="shared" si="2"/>
        <v>1.6798264304867218E-9</v>
      </c>
      <c r="L14">
        <f t="shared" si="0"/>
        <v>-2.1008880514120165E-3</v>
      </c>
      <c r="N14">
        <f t="shared" si="1"/>
        <v>2.6907326468466963E-4</v>
      </c>
    </row>
    <row r="15" spans="1:15" x14ac:dyDescent="0.35">
      <c r="A15" t="s">
        <v>18</v>
      </c>
      <c r="B15">
        <v>-3.4007747308349999E-4</v>
      </c>
      <c r="J15">
        <f t="shared" si="2"/>
        <v>2.0272815470276814E-7</v>
      </c>
      <c r="L15">
        <f t="shared" si="0"/>
        <v>-2.7853347452658164</v>
      </c>
      <c r="N15">
        <f t="shared" si="1"/>
        <v>3.9189512611623334</v>
      </c>
    </row>
    <row r="16" spans="1:15" x14ac:dyDescent="0.35">
      <c r="A16" t="s">
        <v>19</v>
      </c>
      <c r="B16">
        <v>-3.102854534517E-4</v>
      </c>
      <c r="J16">
        <f t="shared" si="2"/>
        <v>1.7678780085482165E-7</v>
      </c>
      <c r="L16">
        <f t="shared" si="0"/>
        <v>-2.2682177043823124</v>
      </c>
      <c r="N16">
        <f t="shared" si="1"/>
        <v>2.9802062050846168</v>
      </c>
    </row>
    <row r="17" spans="1:14" x14ac:dyDescent="0.35">
      <c r="A17" t="s">
        <v>20</v>
      </c>
      <c r="B17">
        <v>1.307001075474E-4</v>
      </c>
      <c r="J17">
        <f t="shared" si="2"/>
        <v>4.2124060067131458E-10</v>
      </c>
      <c r="L17">
        <f t="shared" si="0"/>
        <v>2.6381630349162744E-4</v>
      </c>
      <c r="N17">
        <f t="shared" si="1"/>
        <v>1.6920070741969673E-5</v>
      </c>
    </row>
    <row r="18" spans="1:14" x14ac:dyDescent="0.35">
      <c r="A18" t="s">
        <v>21</v>
      </c>
      <c r="B18">
        <v>-1.081802838598E-4</v>
      </c>
      <c r="J18">
        <f t="shared" si="2"/>
        <v>4.7679449571690356E-8</v>
      </c>
      <c r="L18">
        <f t="shared" si="0"/>
        <v>-0.3176897079769887</v>
      </c>
      <c r="N18">
        <f t="shared" si="1"/>
        <v>0.21677250381955954</v>
      </c>
    </row>
    <row r="19" spans="1:14" x14ac:dyDescent="0.35">
      <c r="A19" t="s">
        <v>22</v>
      </c>
      <c r="B19">
        <v>-1.0858937166631001E-3</v>
      </c>
      <c r="J19">
        <f t="shared" si="2"/>
        <v>1.4305826732905933E-6</v>
      </c>
      <c r="L19">
        <f t="shared" si="0"/>
        <v>-52.212650109928241</v>
      </c>
      <c r="N19">
        <f t="shared" si="1"/>
        <v>195.14959267810548</v>
      </c>
    </row>
    <row r="20" spans="1:14" x14ac:dyDescent="0.35">
      <c r="A20" t="s">
        <v>23</v>
      </c>
      <c r="B20">
        <v>2.1183126955289999E-4</v>
      </c>
      <c r="J20">
        <f t="shared" si="2"/>
        <v>1.0333801802414674E-8</v>
      </c>
      <c r="L20">
        <f t="shared" si="0"/>
        <v>3.2055052119842532E-2</v>
      </c>
      <c r="N20">
        <f t="shared" si="1"/>
        <v>1.0182677356765939E-2</v>
      </c>
    </row>
    <row r="21" spans="1:14" x14ac:dyDescent="0.35">
      <c r="A21" t="s">
        <v>24</v>
      </c>
      <c r="B21">
        <v>-5.3932697483105592E-5</v>
      </c>
      <c r="J21">
        <f t="shared" si="2"/>
        <v>2.693165171578505E-8</v>
      </c>
      <c r="L21">
        <f t="shared" si="0"/>
        <v>-0.13486547303240029</v>
      </c>
      <c r="N21">
        <f t="shared" si="1"/>
        <v>6.916202597440442E-2</v>
      </c>
    </row>
    <row r="22" spans="1:14" x14ac:dyDescent="0.35">
      <c r="A22" t="s">
        <v>25</v>
      </c>
      <c r="B22">
        <v>-1.2662821973200001E-4</v>
      </c>
      <c r="J22">
        <f t="shared" si="2"/>
        <v>5.6076219906326841E-8</v>
      </c>
      <c r="L22">
        <f t="shared" si="0"/>
        <v>-0.40520462249373002</v>
      </c>
      <c r="N22">
        <f t="shared" si="1"/>
        <v>0.29984664101285907</v>
      </c>
    </row>
    <row r="23" spans="1:14" x14ac:dyDescent="0.35">
      <c r="A23" t="s">
        <v>26</v>
      </c>
      <c r="B23">
        <v>-4.7590342546754982E-6</v>
      </c>
      <c r="J23">
        <f t="shared" si="2"/>
        <v>1.3210053082828266E-8</v>
      </c>
      <c r="L23">
        <f t="shared" si="0"/>
        <v>-4.6330089582007676E-2</v>
      </c>
      <c r="N23">
        <f t="shared" si="1"/>
        <v>1.663990541185479E-2</v>
      </c>
    </row>
    <row r="24" spans="1:14" x14ac:dyDescent="0.35">
      <c r="A24" t="s">
        <v>27</v>
      </c>
      <c r="B24">
        <v>-4.4446467654770002E-4</v>
      </c>
      <c r="J24">
        <f t="shared" si="2"/>
        <v>3.0762623657145233E-7</v>
      </c>
      <c r="L24">
        <f t="shared" si="0"/>
        <v>-5.2064458335088961</v>
      </c>
      <c r="N24">
        <f t="shared" si="1"/>
        <v>9.0237794590052101</v>
      </c>
    </row>
    <row r="25" spans="1:14" x14ac:dyDescent="0.35">
      <c r="A25" t="s">
        <v>28</v>
      </c>
      <c r="B25">
        <v>-2.696680894587189E-5</v>
      </c>
      <c r="J25">
        <f t="shared" si="2"/>
        <v>1.8808139287137763E-8</v>
      </c>
      <c r="L25">
        <f t="shared" si="0"/>
        <v>-7.8709117736486853E-2</v>
      </c>
      <c r="N25">
        <f t="shared" si="1"/>
        <v>3.3731324333309734E-2</v>
      </c>
    </row>
    <row r="26" spans="1:14" x14ac:dyDescent="0.35">
      <c r="A26" t="s">
        <v>29</v>
      </c>
      <c r="B26">
        <v>1.6217536176549999E-4</v>
      </c>
      <c r="J26">
        <f t="shared" si="2"/>
        <v>2.7039377032094154E-9</v>
      </c>
      <c r="L26">
        <f t="shared" si="0"/>
        <v>4.2904349140592546E-3</v>
      </c>
      <c r="N26">
        <f t="shared" si="1"/>
        <v>6.9716422119668121E-4</v>
      </c>
    </row>
    <row r="27" spans="1:14" x14ac:dyDescent="0.35">
      <c r="A27" t="s">
        <v>30</v>
      </c>
      <c r="B27">
        <v>3.4684874117370002E-4</v>
      </c>
      <c r="J27">
        <f t="shared" si="2"/>
        <v>5.6014004980916691E-8</v>
      </c>
      <c r="L27">
        <f t="shared" si="0"/>
        <v>0.40453046555869149</v>
      </c>
      <c r="N27">
        <f t="shared" si="1"/>
        <v>0.29918166795001128</v>
      </c>
    </row>
    <row r="28" spans="1:14" x14ac:dyDescent="0.35">
      <c r="A28" t="s">
        <v>31</v>
      </c>
      <c r="B28">
        <v>5.5477581918229998E-4</v>
      </c>
      <c r="J28">
        <f t="shared" si="2"/>
        <v>1.9766903409441123E-7</v>
      </c>
      <c r="L28">
        <f t="shared" si="0"/>
        <v>2.6817250942757629</v>
      </c>
      <c r="N28">
        <f t="shared" si="1"/>
        <v>3.7257954492154552</v>
      </c>
    </row>
    <row r="29" spans="1:14" x14ac:dyDescent="0.35">
      <c r="A29" t="s">
        <v>32</v>
      </c>
      <c r="B29">
        <v>3.5423366352910001E-4</v>
      </c>
      <c r="J29">
        <f t="shared" si="2"/>
        <v>5.9564162272851125E-8</v>
      </c>
      <c r="L29">
        <f t="shared" si="0"/>
        <v>0.44359215090224391</v>
      </c>
      <c r="N29">
        <f t="shared" si="1"/>
        <v>0.3383076387402994</v>
      </c>
    </row>
    <row r="30" spans="1:14" x14ac:dyDescent="0.35">
      <c r="A30" t="s">
        <v>33</v>
      </c>
      <c r="B30">
        <v>3.8516704807980002E-4</v>
      </c>
      <c r="J30">
        <f t="shared" si="2"/>
        <v>7.5620098096222622E-8</v>
      </c>
      <c r="L30">
        <f t="shared" si="0"/>
        <v>0.63454459676854735</v>
      </c>
      <c r="N30">
        <f t="shared" si="1"/>
        <v>0.54527577101630109</v>
      </c>
    </row>
    <row r="31" spans="1:14" x14ac:dyDescent="0.35">
      <c r="A31" t="s">
        <v>34</v>
      </c>
      <c r="B31">
        <v>5.6236607633763917E-5</v>
      </c>
      <c r="J31">
        <f t="shared" si="2"/>
        <v>2.9094538174623916E-9</v>
      </c>
      <c r="L31">
        <f t="shared" si="0"/>
        <v>-4.7887646945672145E-3</v>
      </c>
      <c r="N31">
        <f t="shared" si="1"/>
        <v>8.0716935205846468E-4</v>
      </c>
    </row>
    <row r="32" spans="1:14" x14ac:dyDescent="0.35">
      <c r="A32" t="s">
        <v>35</v>
      </c>
      <c r="B32">
        <v>5.9643335407589995E-4</v>
      </c>
      <c r="J32">
        <f t="shared" si="2"/>
        <v>2.3644625253827685E-7</v>
      </c>
      <c r="L32">
        <f t="shared" si="0"/>
        <v>3.5083664448226881</v>
      </c>
      <c r="N32">
        <f t="shared" si="1"/>
        <v>5.3309744143145732</v>
      </c>
    </row>
    <row r="33" spans="1:14" x14ac:dyDescent="0.35">
      <c r="A33" t="s">
        <v>36</v>
      </c>
      <c r="B33">
        <v>-1.50391770148417E-6</v>
      </c>
      <c r="J33">
        <f t="shared" si="2"/>
        <v>1.2472395256868905E-8</v>
      </c>
      <c r="L33">
        <f t="shared" si="0"/>
        <v>-4.2504126350430466E-2</v>
      </c>
      <c r="N33">
        <f t="shared" si="1"/>
        <v>1.4833425630420781E-2</v>
      </c>
    </row>
    <row r="34" spans="1:14" x14ac:dyDescent="0.35">
      <c r="A34" t="s">
        <v>37</v>
      </c>
      <c r="B34">
        <v>2.0833239250350001E-4</v>
      </c>
      <c r="J34">
        <f t="shared" si="2"/>
        <v>9.6346850893670255E-9</v>
      </c>
      <c r="L34">
        <f t="shared" si="0"/>
        <v>2.8857757671894621E-2</v>
      </c>
      <c r="N34">
        <f t="shared" si="1"/>
        <v>8.8514980136964391E-3</v>
      </c>
    </row>
    <row r="35" spans="1:14" x14ac:dyDescent="0.35">
      <c r="A35" t="s">
        <v>38</v>
      </c>
      <c r="B35">
        <v>-3.3325757249250002E-4</v>
      </c>
      <c r="J35">
        <f t="shared" si="2"/>
        <v>1.9663329842747538E-7</v>
      </c>
      <c r="L35">
        <f t="shared" si="0"/>
        <v>-2.6606753881400436</v>
      </c>
      <c r="N35">
        <f t="shared" si="1"/>
        <v>3.6868532919873007</v>
      </c>
    </row>
    <row r="36" spans="1:14" x14ac:dyDescent="0.35">
      <c r="A36" t="s">
        <v>39</v>
      </c>
      <c r="B36">
        <v>7.2506409196648747E-5</v>
      </c>
      <c r="J36">
        <f t="shared" si="2"/>
        <v>1.4189951162309841E-9</v>
      </c>
      <c r="L36">
        <f t="shared" si="0"/>
        <v>-1.6310889550462651E-3</v>
      </c>
      <c r="N36">
        <f t="shared" si="1"/>
        <v>1.920010170419576E-4</v>
      </c>
    </row>
    <row r="37" spans="1:14" x14ac:dyDescent="0.35">
      <c r="A37" t="s">
        <v>40</v>
      </c>
      <c r="B37">
        <v>-1.337838421022752E-5</v>
      </c>
      <c r="J37">
        <f t="shared" si="2"/>
        <v>1.5265676165112101E-8</v>
      </c>
      <c r="L37">
        <f t="shared" si="0"/>
        <v>-5.7554642916076232E-2</v>
      </c>
      <c r="N37">
        <f t="shared" si="1"/>
        <v>2.2221522869453975E-2</v>
      </c>
    </row>
    <row r="38" spans="1:14" x14ac:dyDescent="0.35">
      <c r="A38" t="s">
        <v>41</v>
      </c>
      <c r="B38">
        <v>1.200983533635E-4</v>
      </c>
      <c r="J38">
        <f t="shared" si="2"/>
        <v>9.8453874649522658E-11</v>
      </c>
      <c r="L38">
        <f t="shared" si="0"/>
        <v>2.9809556481024044E-5</v>
      </c>
      <c r="N38">
        <f t="shared" si="1"/>
        <v>9.2428808083072264E-7</v>
      </c>
    </row>
    <row r="39" spans="1:14" x14ac:dyDescent="0.35">
      <c r="A39" t="s">
        <v>42</v>
      </c>
      <c r="B39">
        <v>-3.5880853829439729E-5</v>
      </c>
      <c r="J39">
        <f t="shared" si="2"/>
        <v>2.1332593092849015E-8</v>
      </c>
      <c r="L39">
        <f t="shared" si="0"/>
        <v>-9.507619004115124E-2</v>
      </c>
      <c r="N39">
        <f t="shared" si="1"/>
        <v>4.3393934262872164E-2</v>
      </c>
    </row>
    <row r="40" spans="1:14" x14ac:dyDescent="0.35">
      <c r="A40" t="s">
        <v>43</v>
      </c>
      <c r="B40">
        <v>-1.004253645078E-4</v>
      </c>
      <c r="J40">
        <f t="shared" si="2"/>
        <v>4.4352918211525403E-8</v>
      </c>
      <c r="L40">
        <f t="shared" si="0"/>
        <v>-0.28502935839895294</v>
      </c>
      <c r="N40">
        <f t="shared" si="1"/>
        <v>0.18757982525888406</v>
      </c>
    </row>
    <row r="41" spans="1:14" x14ac:dyDescent="0.35">
      <c r="A41" t="s">
        <v>45</v>
      </c>
      <c r="B41">
        <v>-2.1769013255829999E-4</v>
      </c>
      <c r="J41">
        <f t="shared" si="2"/>
        <v>1.0749617515865782E-7</v>
      </c>
      <c r="L41">
        <f t="shared" si="0"/>
        <v>-1.0754638416988602</v>
      </c>
      <c r="N41">
        <f t="shared" si="1"/>
        <v>1.1018633841555405</v>
      </c>
    </row>
    <row r="42" spans="1:14" x14ac:dyDescent="0.35">
      <c r="A42" t="s">
        <v>46</v>
      </c>
      <c r="B42">
        <v>1.435211452189E-4</v>
      </c>
      <c r="J42">
        <f t="shared" si="2"/>
        <v>1.1119013254942138E-9</v>
      </c>
      <c r="L42">
        <f t="shared" si="0"/>
        <v>1.1313726288666305E-3</v>
      </c>
      <c r="N42">
        <f t="shared" si="1"/>
        <v>1.1788925511487951E-4</v>
      </c>
    </row>
    <row r="43" spans="1:14" x14ac:dyDescent="0.35">
      <c r="A43" t="s">
        <v>47</v>
      </c>
      <c r="B43">
        <v>2.6097762747659999E-4</v>
      </c>
      <c r="J43">
        <f t="shared" si="2"/>
        <v>2.274114267951239E-8</v>
      </c>
      <c r="L43">
        <f t="shared" si="0"/>
        <v>0.10464650307024166</v>
      </c>
      <c r="N43">
        <f t="shared" si="1"/>
        <v>4.9313552941980685E-2</v>
      </c>
    </row>
    <row r="44" spans="1:14" x14ac:dyDescent="0.35">
      <c r="A44" t="s">
        <v>50</v>
      </c>
      <c r="B44">
        <v>-5.6005774240475148E-5</v>
      </c>
      <c r="J44">
        <f t="shared" si="2"/>
        <v>2.7616369053269398E-8</v>
      </c>
      <c r="L44">
        <f t="shared" si="0"/>
        <v>-0.14004130929348027</v>
      </c>
      <c r="N44">
        <f t="shared" si="1"/>
        <v>7.2723518600661327E-2</v>
      </c>
    </row>
    <row r="45" spans="1:14" x14ac:dyDescent="0.35">
      <c r="A45" t="s">
        <v>51</v>
      </c>
      <c r="B45">
        <v>-1.3175921048959999E-4</v>
      </c>
      <c r="J45">
        <f t="shared" si="2"/>
        <v>5.8532627095582251E-8</v>
      </c>
      <c r="L45">
        <f t="shared" si="0"/>
        <v>-0.43211895881740603</v>
      </c>
      <c r="N45">
        <f t="shared" si="1"/>
        <v>0.32669144460981053</v>
      </c>
    </row>
    <row r="46" spans="1:14" x14ac:dyDescent="0.35">
      <c r="A46" t="s">
        <v>52</v>
      </c>
      <c r="B46">
        <v>-2.7106700144940991E-5</v>
      </c>
      <c r="J46">
        <f t="shared" si="2"/>
        <v>1.8846528989685592E-8</v>
      </c>
      <c r="L46">
        <f t="shared" si="0"/>
        <v>-7.8950223003798808E-2</v>
      </c>
      <c r="N46">
        <f t="shared" si="1"/>
        <v>3.3869164344853486E-2</v>
      </c>
    </row>
    <row r="47" spans="1:14" x14ac:dyDescent="0.35">
      <c r="A47" t="s">
        <v>53</v>
      </c>
      <c r="B47">
        <v>-1.0168313747269999E-4</v>
      </c>
      <c r="J47">
        <f t="shared" si="2"/>
        <v>4.4884277510986164E-8</v>
      </c>
      <c r="L47">
        <f t="shared" si="0"/>
        <v>-0.2901667557583778</v>
      </c>
      <c r="N47">
        <f t="shared" si="1"/>
        <v>0.19210125646617798</v>
      </c>
    </row>
    <row r="48" spans="1:14" x14ac:dyDescent="0.35">
      <c r="A48" t="s">
        <v>54</v>
      </c>
      <c r="B48">
        <v>-2.357863559154E-4</v>
      </c>
      <c r="J48">
        <f t="shared" si="2"/>
        <v>1.1968992457086243E-7</v>
      </c>
      <c r="L48">
        <f t="shared" si="0"/>
        <v>-1.2635507378986097</v>
      </c>
      <c r="N48">
        <f t="shared" si="1"/>
        <v>1.366019548156689</v>
      </c>
    </row>
    <row r="49" spans="1:14" x14ac:dyDescent="0.35">
      <c r="A49" t="s">
        <v>55</v>
      </c>
      <c r="B49">
        <v>-5.2686023991554982E-5</v>
      </c>
      <c r="J49">
        <f t="shared" si="2"/>
        <v>2.6524026082607082E-8</v>
      </c>
      <c r="L49">
        <f t="shared" si="0"/>
        <v>-0.13181519159737606</v>
      </c>
      <c r="N49">
        <f t="shared" si="1"/>
        <v>6.7084257967785874E-2</v>
      </c>
    </row>
    <row r="50" spans="1:14" x14ac:dyDescent="0.35">
      <c r="A50" t="s">
        <v>56</v>
      </c>
      <c r="B50">
        <v>2.7564581250769999E-4</v>
      </c>
      <c r="J50">
        <f t="shared" si="2"/>
        <v>2.7380271831928128E-8</v>
      </c>
      <c r="L50">
        <f t="shared" si="0"/>
        <v>0.1382492961879315</v>
      </c>
      <c r="N50">
        <f t="shared" si="1"/>
        <v>7.1485381413355822E-2</v>
      </c>
    </row>
    <row r="51" spans="1:14" x14ac:dyDescent="0.35">
      <c r="A51" t="s">
        <v>58</v>
      </c>
      <c r="B51">
        <v>3.2542389817530001E-4</v>
      </c>
      <c r="J51">
        <f t="shared" si="2"/>
        <v>4.633167455441538E-8</v>
      </c>
      <c r="L51">
        <f t="shared" si="0"/>
        <v>0.30431495214230353</v>
      </c>
      <c r="N51">
        <f t="shared" si="1"/>
        <v>0.20469051650656506</v>
      </c>
    </row>
    <row r="52" spans="1:14" x14ac:dyDescent="0.35">
      <c r="A52" t="s">
        <v>60</v>
      </c>
      <c r="B52">
        <v>3.9963252493179998E-4</v>
      </c>
      <c r="J52">
        <f t="shared" si="2"/>
        <v>8.3785102532561237E-8</v>
      </c>
      <c r="L52">
        <f t="shared" si="0"/>
        <v>0.74004223141001202</v>
      </c>
      <c r="N52">
        <f t="shared" si="1"/>
        <v>0.66938401734145292</v>
      </c>
    </row>
    <row r="53" spans="1:14" x14ac:dyDescent="0.35">
      <c r="A53" t="s">
        <v>61</v>
      </c>
      <c r="B53">
        <v>-1.6100196808110001E-4</v>
      </c>
      <c r="J53">
        <f t="shared" si="2"/>
        <v>7.3537469099525722E-8</v>
      </c>
      <c r="L53">
        <f t="shared" si="0"/>
        <v>-0.60851223412851396</v>
      </c>
      <c r="N53">
        <f t="shared" si="1"/>
        <v>0.51565482464764578</v>
      </c>
    </row>
    <row r="54" spans="1:14" x14ac:dyDescent="0.35">
      <c r="A54" t="s">
        <v>63</v>
      </c>
      <c r="B54">
        <v>1.064677780959E-4</v>
      </c>
      <c r="J54">
        <f t="shared" si="2"/>
        <v>1.3750618793086676E-11</v>
      </c>
      <c r="L54">
        <f t="shared" si="0"/>
        <v>-1.5559285839323807E-6</v>
      </c>
      <c r="N54">
        <f t="shared" si="1"/>
        <v>1.8029605010810972E-8</v>
      </c>
    </row>
    <row r="55" spans="1:14" x14ac:dyDescent="0.35">
      <c r="A55" t="s">
        <v>64</v>
      </c>
      <c r="B55">
        <v>1.761684688972E-4</v>
      </c>
      <c r="J55">
        <f t="shared" si="2"/>
        <v>4.355011128053805E-9</v>
      </c>
      <c r="L55">
        <f t="shared" si="0"/>
        <v>8.7698103030052089E-3</v>
      </c>
      <c r="N55">
        <f t="shared" si="1"/>
        <v>1.8085072988339138E-3</v>
      </c>
    </row>
    <row r="56" spans="1:14" x14ac:dyDescent="0.35">
      <c r="A56" t="s">
        <v>65</v>
      </c>
      <c r="B56">
        <v>3.498008300084E-4</v>
      </c>
      <c r="J56">
        <f t="shared" si="2"/>
        <v>5.7420077954380293E-8</v>
      </c>
      <c r="L56">
        <f t="shared" si="0"/>
        <v>0.41985754538619929</v>
      </c>
      <c r="N56">
        <f t="shared" si="1"/>
        <v>0.31439040504824256</v>
      </c>
    </row>
    <row r="57" spans="1:14" x14ac:dyDescent="0.35">
      <c r="A57" t="s">
        <v>66</v>
      </c>
      <c r="B57">
        <v>-6.630927964579314E-5</v>
      </c>
      <c r="J57">
        <f t="shared" si="2"/>
        <v>3.1147040086932937E-8</v>
      </c>
      <c r="L57">
        <f t="shared" si="0"/>
        <v>-0.16773800310413417</v>
      </c>
      <c r="N57">
        <f t="shared" si="1"/>
        <v>9.2507147892033875E-2</v>
      </c>
    </row>
    <row r="58" spans="1:14" x14ac:dyDescent="0.35">
      <c r="A58" t="s">
        <v>67</v>
      </c>
      <c r="B58">
        <v>1.1714812717400001E-4</v>
      </c>
      <c r="J58">
        <f t="shared" si="2"/>
        <v>4.8611104273704518E-11</v>
      </c>
      <c r="L58">
        <f t="shared" si="0"/>
        <v>1.034211889099342E-5</v>
      </c>
      <c r="N58">
        <f t="shared" si="1"/>
        <v>2.2532672337026853E-7</v>
      </c>
    </row>
    <row r="59" spans="1:14" x14ac:dyDescent="0.35">
      <c r="A59" t="s">
        <v>68</v>
      </c>
      <c r="B59">
        <v>1.089670113287E-4</v>
      </c>
      <c r="J59">
        <f t="shared" si="2"/>
        <v>1.4615587674614178E-12</v>
      </c>
      <c r="L59">
        <f t="shared" si="0"/>
        <v>-5.3917620736350111E-8</v>
      </c>
      <c r="N59">
        <f t="shared" si="1"/>
        <v>2.0369215020411047E-10</v>
      </c>
    </row>
    <row r="60" spans="1:14" x14ac:dyDescent="0.35">
      <c r="A60" t="s">
        <v>71</v>
      </c>
      <c r="B60">
        <v>2.9863067902619999E-4</v>
      </c>
      <c r="J60">
        <f t="shared" si="2"/>
        <v>3.5515180830554241E-8</v>
      </c>
      <c r="L60">
        <f t="shared" si="0"/>
        <v>0.20423366985299823</v>
      </c>
      <c r="N60">
        <f t="shared" si="1"/>
        <v>0.12027345541415597</v>
      </c>
    </row>
    <row r="61" spans="1:14" x14ac:dyDescent="0.35">
      <c r="A61" t="s">
        <v>72</v>
      </c>
      <c r="B61">
        <v>-4.2239064350719997E-4</v>
      </c>
      <c r="J61">
        <f t="shared" si="2"/>
        <v>2.8362718799832639E-7</v>
      </c>
      <c r="L61">
        <f t="shared" si="0"/>
        <v>-4.6092268657318458</v>
      </c>
      <c r="N61">
        <f t="shared" si="1"/>
        <v>7.670743241883204</v>
      </c>
    </row>
    <row r="62" spans="1:14" x14ac:dyDescent="0.35">
      <c r="A62" t="s">
        <v>75</v>
      </c>
      <c r="B62">
        <v>-1.720845029922E-4</v>
      </c>
      <c r="J62">
        <f t="shared" si="2"/>
        <v>7.9670969406950911E-8</v>
      </c>
      <c r="L62">
        <f t="shared" si="0"/>
        <v>-0.68620906054129627</v>
      </c>
      <c r="N62">
        <f t="shared" si="1"/>
        <v>0.60525994043697673</v>
      </c>
    </row>
    <row r="63" spans="1:14" x14ac:dyDescent="0.35">
      <c r="A63" t="s">
        <v>76</v>
      </c>
      <c r="B63">
        <v>3.694123297464E-4</v>
      </c>
      <c r="J63">
        <f t="shared" si="2"/>
        <v>6.7203494996671219E-8</v>
      </c>
      <c r="L63">
        <f t="shared" si="0"/>
        <v>0.53161115487782407</v>
      </c>
      <c r="N63">
        <f t="shared" si="1"/>
        <v>0.43065098707367672</v>
      </c>
    </row>
    <row r="64" spans="1:14" x14ac:dyDescent="0.35">
      <c r="A64" t="s">
        <v>77</v>
      </c>
      <c r="B64">
        <v>1.5419397095679999E-4</v>
      </c>
      <c r="J64">
        <f t="shared" si="2"/>
        <v>1.937585220228425E-9</v>
      </c>
      <c r="L64">
        <f t="shared" si="0"/>
        <v>2.6025406123010146E-3</v>
      </c>
      <c r="N64">
        <f t="shared" si="1"/>
        <v>3.5798378353371201E-4</v>
      </c>
    </row>
    <row r="65" spans="1:14" x14ac:dyDescent="0.35">
      <c r="A65" t="s">
        <v>79</v>
      </c>
      <c r="B65">
        <v>3.2197451218960002E-4</v>
      </c>
      <c r="J65">
        <f t="shared" si="2"/>
        <v>4.4858626380665584E-8</v>
      </c>
      <c r="L65">
        <f t="shared" si="0"/>
        <v>0.28991804812106858</v>
      </c>
      <c r="N65">
        <f t="shared" si="1"/>
        <v>0.19188174947688935</v>
      </c>
    </row>
    <row r="66" spans="1:14" x14ac:dyDescent="0.35">
      <c r="A66" t="s">
        <v>80</v>
      </c>
      <c r="B66">
        <v>-5.6716813560342423E-5</v>
      </c>
      <c r="J66">
        <f t="shared" si="2"/>
        <v>2.7853198125865534E-8</v>
      </c>
      <c r="L66">
        <f t="shared" si="0"/>
        <v>-0.14184658953973789</v>
      </c>
      <c r="N66">
        <f t="shared" si="1"/>
        <v>7.3976173724530997E-2</v>
      </c>
    </row>
    <row r="67" spans="1:14" x14ac:dyDescent="0.35">
      <c r="A67" t="s">
        <v>82</v>
      </c>
      <c r="B67">
        <v>6.5792228269856423E-5</v>
      </c>
      <c r="J67">
        <f t="shared" si="2"/>
        <v>1.9699157112258968E-9</v>
      </c>
      <c r="L67">
        <f t="shared" ref="L67:L130" si="3">((B67 - $E$4) / $E$7)^3</f>
        <v>-2.6679504638553067E-3</v>
      </c>
      <c r="N67">
        <f t="shared" ref="N67:N130" si="4">((B67 - $E$4) / $E$7)^4</f>
        <v>3.700300680987798E-4</v>
      </c>
    </row>
    <row r="68" spans="1:14" x14ac:dyDescent="0.35">
      <c r="A68" t="s">
        <v>84</v>
      </c>
      <c r="B68">
        <v>3.8384972140189999E-4</v>
      </c>
      <c r="J68">
        <f t="shared" ref="J68:J131" si="5">(B68-$E$4)^2</f>
        <v>7.4897327254820314E-8</v>
      </c>
      <c r="L68">
        <f t="shared" si="3"/>
        <v>0.62546897989656036</v>
      </c>
      <c r="N68">
        <f t="shared" si="4"/>
        <v>0.53490217974852206</v>
      </c>
    </row>
    <row r="69" spans="1:14" x14ac:dyDescent="0.35">
      <c r="A69" t="s">
        <v>85</v>
      </c>
      <c r="B69">
        <v>5.020344397053E-4</v>
      </c>
      <c r="J69">
        <f t="shared" si="5"/>
        <v>1.5355306750835212E-7</v>
      </c>
      <c r="L69">
        <f t="shared" si="3"/>
        <v>1.8360903194113751</v>
      </c>
      <c r="N69">
        <f t="shared" si="4"/>
        <v>2.2483230924195814</v>
      </c>
    </row>
    <row r="70" spans="1:14" x14ac:dyDescent="0.35">
      <c r="A70" t="s">
        <v>86</v>
      </c>
      <c r="B70">
        <v>5.9626542497420005E-4</v>
      </c>
      <c r="J70">
        <f t="shared" si="5"/>
        <v>2.3628296720395665E-7</v>
      </c>
      <c r="L70">
        <f t="shared" si="3"/>
        <v>3.5047328545167682</v>
      </c>
      <c r="N70">
        <f t="shared" si="4"/>
        <v>5.3236140153649645</v>
      </c>
    </row>
    <row r="71" spans="1:14" x14ac:dyDescent="0.35">
      <c r="A71" t="s">
        <v>87</v>
      </c>
      <c r="B71">
        <v>6.8904651561749999E-4</v>
      </c>
      <c r="J71">
        <f t="shared" si="5"/>
        <v>3.3509111926186712E-7</v>
      </c>
      <c r="L71">
        <f t="shared" si="3"/>
        <v>5.9190317963183352</v>
      </c>
      <c r="N71">
        <f t="shared" si="4"/>
        <v>10.706994114280848</v>
      </c>
    </row>
    <row r="72" spans="1:14" x14ac:dyDescent="0.35">
      <c r="A72" t="s">
        <v>89</v>
      </c>
      <c r="B72">
        <v>1.917484041769E-4</v>
      </c>
      <c r="J72">
        <f t="shared" si="5"/>
        <v>6.6540635223029954E-9</v>
      </c>
      <c r="L72">
        <f t="shared" si="3"/>
        <v>1.6562912575907789E-2</v>
      </c>
      <c r="N72">
        <f t="shared" si="4"/>
        <v>4.2219745659860843E-3</v>
      </c>
    </row>
    <row r="73" spans="1:14" x14ac:dyDescent="0.35">
      <c r="A73" t="s">
        <v>90</v>
      </c>
      <c r="B73">
        <v>-5.4601085139429999E-4</v>
      </c>
      <c r="J73">
        <f t="shared" si="5"/>
        <v>4.3058113246694482E-7</v>
      </c>
      <c r="L73">
        <f t="shared" si="3"/>
        <v>-8.621618252245165</v>
      </c>
      <c r="N73">
        <f t="shared" si="4"/>
        <v>17.678756701913912</v>
      </c>
    </row>
    <row r="74" spans="1:14" x14ac:dyDescent="0.35">
      <c r="A74" t="s">
        <v>91</v>
      </c>
      <c r="B74">
        <v>4.1244554449800002E-4</v>
      </c>
      <c r="J74">
        <f t="shared" si="5"/>
        <v>9.1366901243137524E-8</v>
      </c>
      <c r="L74">
        <f t="shared" si="3"/>
        <v>0.84273229956845996</v>
      </c>
      <c r="N74">
        <f t="shared" si="4"/>
        <v>0.79601182502113588</v>
      </c>
    </row>
    <row r="75" spans="1:14" x14ac:dyDescent="0.35">
      <c r="A75" t="s">
        <v>93</v>
      </c>
      <c r="B75">
        <v>5.3135314374230802E-5</v>
      </c>
      <c r="J75">
        <f t="shared" si="5"/>
        <v>3.2536353419946268E-9</v>
      </c>
      <c r="L75">
        <f t="shared" si="3"/>
        <v>-5.6631701613540694E-3</v>
      </c>
      <c r="N75">
        <f t="shared" si="4"/>
        <v>1.0094376091394129E-3</v>
      </c>
    </row>
    <row r="76" spans="1:14" x14ac:dyDescent="0.35">
      <c r="A76" t="s">
        <v>96</v>
      </c>
      <c r="B76">
        <v>3.5663865855890001E-4</v>
      </c>
      <c r="J76">
        <f t="shared" si="5"/>
        <v>6.0743861398153055E-8</v>
      </c>
      <c r="L76">
        <f t="shared" si="3"/>
        <v>0.45683554706616292</v>
      </c>
      <c r="N76">
        <f t="shared" si="4"/>
        <v>0.35184105929060183</v>
      </c>
    </row>
    <row r="77" spans="1:14" x14ac:dyDescent="0.35">
      <c r="A77" t="s">
        <v>97</v>
      </c>
      <c r="B77">
        <v>-1.1341793288009999E-4</v>
      </c>
      <c r="J77">
        <f t="shared" si="5"/>
        <v>4.9994229280542157E-8</v>
      </c>
      <c r="L77">
        <f t="shared" si="3"/>
        <v>-0.34110345016573468</v>
      </c>
      <c r="N77">
        <f t="shared" si="4"/>
        <v>0.23833152007809547</v>
      </c>
    </row>
    <row r="78" spans="1:14" x14ac:dyDescent="0.35">
      <c r="A78" t="s">
        <v>99</v>
      </c>
      <c r="B78">
        <v>1.017593895085E-4</v>
      </c>
      <c r="J78">
        <f t="shared" si="5"/>
        <v>7.0838671910196795E-11</v>
      </c>
      <c r="L78">
        <f t="shared" si="3"/>
        <v>-1.8193318033205199E-5</v>
      </c>
      <c r="N78">
        <f t="shared" si="4"/>
        <v>4.7850066812240912E-7</v>
      </c>
    </row>
    <row r="79" spans="1:14" x14ac:dyDescent="0.35">
      <c r="A79" t="s">
        <v>100</v>
      </c>
      <c r="B79">
        <v>2.559984859544E-4</v>
      </c>
      <c r="J79">
        <f t="shared" si="5"/>
        <v>2.1264208849244138E-8</v>
      </c>
      <c r="L79">
        <f t="shared" si="3"/>
        <v>9.461938903139161E-2</v>
      </c>
      <c r="N79">
        <f t="shared" si="4"/>
        <v>4.3116171022555529E-2</v>
      </c>
    </row>
    <row r="80" spans="1:14" x14ac:dyDescent="0.35">
      <c r="A80" t="s">
        <v>102</v>
      </c>
      <c r="B80">
        <v>1.7734815628500659E-5</v>
      </c>
      <c r="J80">
        <f t="shared" si="5"/>
        <v>8.5453653162830772E-9</v>
      </c>
      <c r="L80">
        <f t="shared" si="3"/>
        <v>-2.4104728611256204E-2</v>
      </c>
      <c r="N80">
        <f t="shared" si="4"/>
        <v>6.9631058149196732E-3</v>
      </c>
    </row>
    <row r="81" spans="1:14" x14ac:dyDescent="0.35">
      <c r="A81" t="s">
        <v>104</v>
      </c>
      <c r="B81">
        <v>2.5417108554390001E-4</v>
      </c>
      <c r="J81">
        <f t="shared" si="5"/>
        <v>2.0734595956764147E-8</v>
      </c>
      <c r="L81">
        <f t="shared" si="3"/>
        <v>9.1106562583919151E-2</v>
      </c>
      <c r="N81">
        <f t="shared" si="4"/>
        <v>4.0995187923414424E-2</v>
      </c>
    </row>
    <row r="82" spans="1:14" x14ac:dyDescent="0.35">
      <c r="A82" t="s">
        <v>105</v>
      </c>
      <c r="B82">
        <v>-3.0572444666169998E-4</v>
      </c>
      <c r="J82">
        <f t="shared" si="5"/>
        <v>1.7297314890730392E-7</v>
      </c>
      <c r="L82">
        <f t="shared" si="3"/>
        <v>-2.1952012091855075</v>
      </c>
      <c r="N82">
        <f t="shared" si="4"/>
        <v>2.8529825214622835</v>
      </c>
    </row>
    <row r="83" spans="1:14" x14ac:dyDescent="0.35">
      <c r="A83" t="s">
        <v>106</v>
      </c>
      <c r="B83">
        <v>2.1080885198889999E-4</v>
      </c>
      <c r="J83">
        <f t="shared" si="5"/>
        <v>1.0126978793756287E-8</v>
      </c>
      <c r="L83">
        <f t="shared" si="3"/>
        <v>3.109754798356083E-2</v>
      </c>
      <c r="N83">
        <f t="shared" si="4"/>
        <v>9.7791594819454011E-3</v>
      </c>
    </row>
    <row r="84" spans="1:14" x14ac:dyDescent="0.35">
      <c r="A84" t="s">
        <v>107</v>
      </c>
      <c r="B84">
        <v>-2.8518849285309999E-4</v>
      </c>
      <c r="J84">
        <f t="shared" si="5"/>
        <v>1.5631305119387317E-7</v>
      </c>
      <c r="L84">
        <f t="shared" si="3"/>
        <v>-1.8858153068918591</v>
      </c>
      <c r="N84">
        <f t="shared" si="4"/>
        <v>2.3298727862666277</v>
      </c>
    </row>
    <row r="85" spans="1:14" x14ac:dyDescent="0.35">
      <c r="A85" t="s">
        <v>108</v>
      </c>
      <c r="B85">
        <v>5.3200486581769996E-4</v>
      </c>
      <c r="J85">
        <f t="shared" si="5"/>
        <v>1.779396251282139E-7</v>
      </c>
      <c r="L85">
        <f t="shared" si="3"/>
        <v>2.2904209251179242</v>
      </c>
      <c r="N85">
        <f t="shared" si="4"/>
        <v>3.0191665436097299</v>
      </c>
    </row>
    <row r="86" spans="1:14" x14ac:dyDescent="0.35">
      <c r="A86" t="s">
        <v>110</v>
      </c>
      <c r="B86">
        <v>-7.9969839134719223E-5</v>
      </c>
      <c r="J86">
        <f t="shared" si="5"/>
        <v>3.615542522389716E-8</v>
      </c>
      <c r="L86">
        <f t="shared" si="3"/>
        <v>-0.20978117144335418</v>
      </c>
      <c r="N86">
        <f t="shared" si="4"/>
        <v>0.12464896448637723</v>
      </c>
    </row>
    <row r="87" spans="1:14" x14ac:dyDescent="0.35">
      <c r="A87" t="s">
        <v>111</v>
      </c>
      <c r="B87">
        <v>-5.097843240946E-4</v>
      </c>
      <c r="J87">
        <f t="shared" si="5"/>
        <v>3.8435075481751978E-7</v>
      </c>
      <c r="L87">
        <f t="shared" si="3"/>
        <v>-7.2710629270592886</v>
      </c>
      <c r="N87">
        <f t="shared" si="4"/>
        <v>14.086308785673568</v>
      </c>
    </row>
    <row r="88" spans="1:14" x14ac:dyDescent="0.35">
      <c r="A88" t="s">
        <v>113</v>
      </c>
      <c r="B88">
        <v>1.0296977052348669E-5</v>
      </c>
      <c r="J88">
        <f t="shared" si="5"/>
        <v>9.9758113897796547E-9</v>
      </c>
      <c r="L88">
        <f t="shared" si="3"/>
        <v>-3.0403854110604572E-2</v>
      </c>
      <c r="N88">
        <f t="shared" si="4"/>
        <v>9.4893876125784083E-3</v>
      </c>
    </row>
    <row r="89" spans="1:14" x14ac:dyDescent="0.35">
      <c r="A89" t="s">
        <v>116</v>
      </c>
      <c r="B89">
        <v>-7.0585330831818283E-5</v>
      </c>
      <c r="J89">
        <f t="shared" si="5"/>
        <v>3.2674644543926243E-8</v>
      </c>
      <c r="L89">
        <f t="shared" si="3"/>
        <v>-0.18022814111737295</v>
      </c>
      <c r="N89">
        <f t="shared" si="4"/>
        <v>0.10180367859886169</v>
      </c>
    </row>
    <row r="90" spans="1:14" x14ac:dyDescent="0.35">
      <c r="A90" t="s">
        <v>117</v>
      </c>
      <c r="B90">
        <v>1.7874188779380001E-4</v>
      </c>
      <c r="J90">
        <f t="shared" si="5"/>
        <v>4.7012863477345943E-9</v>
      </c>
      <c r="L90">
        <f t="shared" si="3"/>
        <v>9.8362906255287878E-3</v>
      </c>
      <c r="N90">
        <f t="shared" si="4"/>
        <v>2.1075366515062432E-3</v>
      </c>
    </row>
    <row r="91" spans="1:14" x14ac:dyDescent="0.35">
      <c r="A91" t="s">
        <v>118</v>
      </c>
      <c r="B91">
        <v>-3.5932931496063247E-5</v>
      </c>
      <c r="J91">
        <f t="shared" si="5"/>
        <v>2.1347808401130662E-8</v>
      </c>
      <c r="L91">
        <f t="shared" si="3"/>
        <v>-9.517792672064937E-2</v>
      </c>
      <c r="N91">
        <f t="shared" si="4"/>
        <v>4.3455857119072086E-2</v>
      </c>
    </row>
    <row r="92" spans="1:14" x14ac:dyDescent="0.35">
      <c r="A92" t="s">
        <v>119</v>
      </c>
      <c r="B92">
        <v>-1.5318821533580001E-4</v>
      </c>
      <c r="J92">
        <f t="shared" si="5"/>
        <v>6.9360689259337909E-8</v>
      </c>
      <c r="L92">
        <f t="shared" si="3"/>
        <v>-0.55741210537788644</v>
      </c>
      <c r="N92">
        <f t="shared" si="4"/>
        <v>0.45874202584299151</v>
      </c>
    </row>
    <row r="93" spans="1:14" x14ac:dyDescent="0.35">
      <c r="A93" t="s">
        <v>120</v>
      </c>
      <c r="B93">
        <v>2.484531723894E-4</v>
      </c>
      <c r="J93">
        <f t="shared" si="5"/>
        <v>1.912058725142437E-8</v>
      </c>
      <c r="L93">
        <f t="shared" si="3"/>
        <v>8.067855957224937E-2</v>
      </c>
      <c r="N93">
        <f t="shared" si="4"/>
        <v>3.4861348388605738E-2</v>
      </c>
    </row>
    <row r="94" spans="1:14" x14ac:dyDescent="0.35">
      <c r="A94" t="s">
        <v>121</v>
      </c>
      <c r="B94">
        <v>-2.531922946218E-4</v>
      </c>
      <c r="J94">
        <f t="shared" si="5"/>
        <v>1.3203648903124192E-7</v>
      </c>
      <c r="L94">
        <f t="shared" si="3"/>
        <v>-1.4640208003202446</v>
      </c>
      <c r="N94">
        <f t="shared" si="4"/>
        <v>1.6623775406513592</v>
      </c>
    </row>
    <row r="95" spans="1:14" x14ac:dyDescent="0.35">
      <c r="A95" t="s">
        <v>122</v>
      </c>
      <c r="B95">
        <v>7.9914592788554728E-5</v>
      </c>
      <c r="J95">
        <f t="shared" si="5"/>
        <v>9.1575039250497995E-10</v>
      </c>
      <c r="L95">
        <f t="shared" si="3"/>
        <v>-8.4561361341797521E-4</v>
      </c>
      <c r="N95">
        <f t="shared" si="4"/>
        <v>7.9964265908754565E-5</v>
      </c>
    </row>
    <row r="96" spans="1:14" x14ac:dyDescent="0.35">
      <c r="A96" t="s">
        <v>123</v>
      </c>
      <c r="B96">
        <v>3.1471264082929998E-4</v>
      </c>
      <c r="J96">
        <f t="shared" si="5"/>
        <v>4.1835253487000225E-8</v>
      </c>
      <c r="L96">
        <f t="shared" si="3"/>
        <v>0.26110783450916786</v>
      </c>
      <c r="N96">
        <f t="shared" si="4"/>
        <v>0.16688854844670087</v>
      </c>
    </row>
    <row r="97" spans="1:14" x14ac:dyDescent="0.35">
      <c r="A97" t="s">
        <v>125</v>
      </c>
      <c r="B97">
        <v>2.5229726452380001E-4</v>
      </c>
      <c r="J97">
        <f t="shared" si="5"/>
        <v>2.0198464978817558E-8</v>
      </c>
      <c r="L97">
        <f t="shared" si="3"/>
        <v>8.759591313868112E-2</v>
      </c>
      <c r="N97">
        <f t="shared" si="4"/>
        <v>3.8902584885701662E-2</v>
      </c>
    </row>
    <row r="98" spans="1:14" x14ac:dyDescent="0.35">
      <c r="A98" t="s">
        <v>126</v>
      </c>
      <c r="B98">
        <v>-9.1478163085412234E-5</v>
      </c>
      <c r="J98">
        <f t="shared" si="5"/>
        <v>4.0664385670536381E-8</v>
      </c>
      <c r="L98">
        <f t="shared" si="3"/>
        <v>-0.250223226200737</v>
      </c>
      <c r="N98">
        <f t="shared" si="4"/>
        <v>0.15767765739380507</v>
      </c>
    </row>
    <row r="99" spans="1:14" x14ac:dyDescent="0.35">
      <c r="A99" t="s">
        <v>128</v>
      </c>
      <c r="B99">
        <v>1.942218514159E-4</v>
      </c>
      <c r="J99">
        <f t="shared" si="5"/>
        <v>7.0637117333612615E-9</v>
      </c>
      <c r="L99">
        <f t="shared" si="3"/>
        <v>1.8115726158174836E-2</v>
      </c>
      <c r="N99">
        <f t="shared" si="4"/>
        <v>4.7578162235993558E-3</v>
      </c>
    </row>
    <row r="100" spans="1:14" x14ac:dyDescent="0.35">
      <c r="A100" t="s">
        <v>129</v>
      </c>
      <c r="B100">
        <v>2.9894761973990001E-4</v>
      </c>
      <c r="J100">
        <f t="shared" si="5"/>
        <v>3.5634739227774598E-8</v>
      </c>
      <c r="L100">
        <f t="shared" si="3"/>
        <v>0.20526583644561067</v>
      </c>
      <c r="N100">
        <f t="shared" si="4"/>
        <v>0.12108459618004842</v>
      </c>
    </row>
    <row r="101" spans="1:14" x14ac:dyDescent="0.35">
      <c r="A101" t="s">
        <v>130</v>
      </c>
      <c r="B101">
        <v>-1.2478618009479999E-4</v>
      </c>
      <c r="J101">
        <f t="shared" si="5"/>
        <v>5.5207207642849001E-8</v>
      </c>
      <c r="L101">
        <f t="shared" si="3"/>
        <v>-0.39582203537650756</v>
      </c>
      <c r="N101">
        <f t="shared" si="4"/>
        <v>0.29062521414222087</v>
      </c>
    </row>
    <row r="102" spans="1:14" x14ac:dyDescent="0.35">
      <c r="A102" t="s">
        <v>131</v>
      </c>
      <c r="B102">
        <v>1.8091170932160001E-4</v>
      </c>
      <c r="J102">
        <f t="shared" si="5"/>
        <v>5.0035461222282759E-9</v>
      </c>
      <c r="L102">
        <f t="shared" si="3"/>
        <v>1.0799985114869161E-2</v>
      </c>
      <c r="N102">
        <f t="shared" si="4"/>
        <v>2.3872480241367085E-3</v>
      </c>
    </row>
    <row r="103" spans="1:14" x14ac:dyDescent="0.35">
      <c r="A103" t="s">
        <v>132</v>
      </c>
      <c r="B103">
        <v>6.6299682657700032E-5</v>
      </c>
      <c r="J103">
        <f t="shared" si="5"/>
        <v>1.9251277815628391E-9</v>
      </c>
      <c r="L103">
        <f t="shared" si="3"/>
        <v>-2.5774819809485641E-3</v>
      </c>
      <c r="N103">
        <f t="shared" si="4"/>
        <v>3.5339536604169722E-4</v>
      </c>
    </row>
    <row r="104" spans="1:14" x14ac:dyDescent="0.35">
      <c r="A104" t="s">
        <v>133</v>
      </c>
      <c r="B104">
        <v>5.0743474275805063E-5</v>
      </c>
      <c r="J104">
        <f t="shared" si="5"/>
        <v>3.5322204516614549E-9</v>
      </c>
      <c r="L104">
        <f t="shared" si="3"/>
        <v>-6.4058681718399922E-3</v>
      </c>
      <c r="N104">
        <f t="shared" si="4"/>
        <v>1.1896996375335288E-3</v>
      </c>
    </row>
    <row r="105" spans="1:14" x14ac:dyDescent="0.35">
      <c r="A105" t="s">
        <v>134</v>
      </c>
      <c r="B105">
        <v>-2.1849376207679999E-4</v>
      </c>
      <c r="J105">
        <f t="shared" si="5"/>
        <v>1.0802378672049915E-7</v>
      </c>
      <c r="L105">
        <f t="shared" si="3"/>
        <v>-1.0833914193241534</v>
      </c>
      <c r="N105">
        <f t="shared" si="4"/>
        <v>1.1127062362376374</v>
      </c>
    </row>
    <row r="106" spans="1:14" x14ac:dyDescent="0.35">
      <c r="A106" t="s">
        <v>135</v>
      </c>
      <c r="B106">
        <v>9.6450741693843156E-5</v>
      </c>
      <c r="J106">
        <f t="shared" si="5"/>
        <v>1.8838163886835221E-10</v>
      </c>
      <c r="L106">
        <f t="shared" si="3"/>
        <v>-7.8897665306261797E-5</v>
      </c>
      <c r="N106">
        <f t="shared" si="4"/>
        <v>3.3839105105059897E-6</v>
      </c>
    </row>
    <row r="107" spans="1:14" x14ac:dyDescent="0.35">
      <c r="A107" t="s">
        <v>136</v>
      </c>
      <c r="B107">
        <v>2.7591123944140002E-4</v>
      </c>
      <c r="J107">
        <f t="shared" si="5"/>
        <v>2.7468182594114858E-8</v>
      </c>
      <c r="L107">
        <f t="shared" si="3"/>
        <v>0.13891565286369989</v>
      </c>
      <c r="N107">
        <f t="shared" si="4"/>
        <v>7.1945159392627828E-2</v>
      </c>
    </row>
    <row r="108" spans="1:14" x14ac:dyDescent="0.35">
      <c r="A108" t="s">
        <v>137</v>
      </c>
      <c r="B108">
        <v>-1.2809586769430001E-4</v>
      </c>
      <c r="J108">
        <f t="shared" si="5"/>
        <v>5.6773464242843066E-8</v>
      </c>
      <c r="L108">
        <f t="shared" si="3"/>
        <v>-0.41278545734248345</v>
      </c>
      <c r="N108">
        <f t="shared" si="4"/>
        <v>0.30734950495400304</v>
      </c>
    </row>
    <row r="109" spans="1:14" x14ac:dyDescent="0.35">
      <c r="A109" t="s">
        <v>138</v>
      </c>
      <c r="B109">
        <v>1.9135243201159999E-4</v>
      </c>
      <c r="J109">
        <f t="shared" si="5"/>
        <v>6.5896194821745904E-9</v>
      </c>
      <c r="L109">
        <f t="shared" si="3"/>
        <v>1.632288050256028E-2</v>
      </c>
      <c r="N109">
        <f t="shared" si="4"/>
        <v>4.1405916467283366E-3</v>
      </c>
    </row>
    <row r="110" spans="1:14" x14ac:dyDescent="0.35">
      <c r="A110" t="s">
        <v>139</v>
      </c>
      <c r="B110">
        <v>7.8574135841336101E-5</v>
      </c>
      <c r="J110">
        <f t="shared" si="5"/>
        <v>9.9867533923602698E-10</v>
      </c>
      <c r="L110">
        <f t="shared" si="3"/>
        <v>-9.6303658165388121E-4</v>
      </c>
      <c r="N110">
        <f t="shared" si="4"/>
        <v>9.5102159631601257E-5</v>
      </c>
    </row>
    <row r="111" spans="1:14" x14ac:dyDescent="0.35">
      <c r="A111" t="s">
        <v>140</v>
      </c>
      <c r="B111">
        <v>1.449314440833E-4</v>
      </c>
      <c r="J111">
        <f t="shared" si="5"/>
        <v>1.2079436198856459E-9</v>
      </c>
      <c r="L111">
        <f t="shared" si="3"/>
        <v>1.2810801212777589E-3</v>
      </c>
      <c r="N111">
        <f t="shared" si="4"/>
        <v>1.3913457196922612E-4</v>
      </c>
    </row>
    <row r="112" spans="1:14" x14ac:dyDescent="0.35">
      <c r="A112" t="s">
        <v>141</v>
      </c>
      <c r="B112">
        <v>-1.094401231966E-4</v>
      </c>
      <c r="J112">
        <f t="shared" si="5"/>
        <v>4.8231224339702506E-8</v>
      </c>
      <c r="L112">
        <f t="shared" si="3"/>
        <v>-0.32322037186589891</v>
      </c>
      <c r="N112">
        <f t="shared" si="4"/>
        <v>0.22181877409174591</v>
      </c>
    </row>
    <row r="113" spans="1:14" x14ac:dyDescent="0.35">
      <c r="A113" t="s">
        <v>142</v>
      </c>
      <c r="B113">
        <v>8.4336257714312524E-5</v>
      </c>
      <c r="J113">
        <f t="shared" si="5"/>
        <v>6.6769025434470296E-10</v>
      </c>
      <c r="L113">
        <f t="shared" si="3"/>
        <v>-5.2646420917255008E-4</v>
      </c>
      <c r="N113">
        <f t="shared" si="4"/>
        <v>4.2510068254943633E-5</v>
      </c>
    </row>
    <row r="114" spans="1:14" x14ac:dyDescent="0.35">
      <c r="A114" t="s">
        <v>143</v>
      </c>
      <c r="B114">
        <v>-1.4454405754800001E-4</v>
      </c>
      <c r="J114">
        <f t="shared" si="5"/>
        <v>6.4882287735260048E-8</v>
      </c>
      <c r="L114">
        <f t="shared" si="3"/>
        <v>-0.50430761693414561</v>
      </c>
      <c r="N114">
        <f t="shared" si="4"/>
        <v>0.40141540652299545</v>
      </c>
    </row>
    <row r="115" spans="1:14" x14ac:dyDescent="0.35">
      <c r="A115" t="s">
        <v>144</v>
      </c>
      <c r="B115">
        <v>1.8668431948754009E-5</v>
      </c>
      <c r="J115">
        <f t="shared" si="5"/>
        <v>8.3736278321702632E-9</v>
      </c>
      <c r="L115">
        <f t="shared" si="3"/>
        <v>-2.3381737353166333E-2</v>
      </c>
      <c r="N115">
        <f t="shared" si="4"/>
        <v>6.6860410246484935E-3</v>
      </c>
    </row>
    <row r="116" spans="1:14" x14ac:dyDescent="0.35">
      <c r="A116" t="s">
        <v>145</v>
      </c>
      <c r="B116">
        <v>5.0457939505569997E-4</v>
      </c>
      <c r="J116">
        <f t="shared" si="5"/>
        <v>1.5555406897118627E-7</v>
      </c>
      <c r="L116">
        <f t="shared" si="3"/>
        <v>1.872097052615292</v>
      </c>
      <c r="N116">
        <f t="shared" si="4"/>
        <v>2.3073021957679125</v>
      </c>
    </row>
    <row r="117" spans="1:14" x14ac:dyDescent="0.35">
      <c r="A117" t="s">
        <v>147</v>
      </c>
      <c r="B117">
        <v>2.8853315598098561E-5</v>
      </c>
      <c r="J117">
        <f t="shared" si="5"/>
        <v>6.6133726188206195E-9</v>
      </c>
      <c r="L117">
        <f t="shared" si="3"/>
        <v>-1.6411216892585071E-2</v>
      </c>
      <c r="N117">
        <f t="shared" si="4"/>
        <v>4.1704960443271913E-3</v>
      </c>
    </row>
    <row r="118" spans="1:14" x14ac:dyDescent="0.35">
      <c r="A118" t="s">
        <v>149</v>
      </c>
      <c r="B118">
        <v>7.7260512625789996E-4</v>
      </c>
      <c r="J118">
        <f t="shared" si="5"/>
        <v>4.3881239928031525E-7</v>
      </c>
      <c r="L118">
        <f t="shared" si="3"/>
        <v>8.8700206688867702</v>
      </c>
      <c r="N118">
        <f t="shared" si="4"/>
        <v>18.361134380125993</v>
      </c>
    </row>
    <row r="119" spans="1:14" x14ac:dyDescent="0.35">
      <c r="A119" t="s">
        <v>150</v>
      </c>
      <c r="B119">
        <v>-9.03658292372711E-5</v>
      </c>
      <c r="J119">
        <f t="shared" si="5"/>
        <v>4.0217009541948284E-8</v>
      </c>
      <c r="L119">
        <f t="shared" si="3"/>
        <v>-0.24610529461114558</v>
      </c>
      <c r="N119">
        <f t="shared" si="4"/>
        <v>0.15422730725662362</v>
      </c>
    </row>
    <row r="120" spans="1:14" x14ac:dyDescent="0.35">
      <c r="A120" t="s">
        <v>151</v>
      </c>
      <c r="B120">
        <v>1.9772745145010001E-4</v>
      </c>
      <c r="J120">
        <f t="shared" si="5"/>
        <v>7.6652635191603823E-9</v>
      </c>
      <c r="L120">
        <f t="shared" si="3"/>
        <v>2.0478442849358083E-2</v>
      </c>
      <c r="N120">
        <f t="shared" si="4"/>
        <v>5.6026811487047568E-3</v>
      </c>
    </row>
    <row r="121" spans="1:14" x14ac:dyDescent="0.35">
      <c r="A121" t="s">
        <v>152</v>
      </c>
      <c r="B121">
        <v>8.4051862359046936E-5</v>
      </c>
      <c r="J121">
        <f t="shared" si="5"/>
        <v>6.8246851812748534E-10</v>
      </c>
      <c r="L121">
        <f t="shared" si="3"/>
        <v>-5.4403924521931205E-4</v>
      </c>
      <c r="N121">
        <f t="shared" si="4"/>
        <v>4.4412679172210484E-5</v>
      </c>
    </row>
    <row r="122" spans="1:14" x14ac:dyDescent="0.35">
      <c r="A122" t="s">
        <v>153</v>
      </c>
      <c r="B122">
        <v>-7.5416734034661204E-5</v>
      </c>
      <c r="J122">
        <f t="shared" si="5"/>
        <v>3.4444648367288093E-8</v>
      </c>
      <c r="L122">
        <f t="shared" si="3"/>
        <v>-0.19506930161557834</v>
      </c>
      <c r="N122">
        <f t="shared" si="4"/>
        <v>0.11313194112046045</v>
      </c>
    </row>
    <row r="123" spans="1:14" x14ac:dyDescent="0.35">
      <c r="A123" t="s">
        <v>154</v>
      </c>
      <c r="B123">
        <v>-7.2969334723893553E-5</v>
      </c>
      <c r="J123">
        <f t="shared" si="5"/>
        <v>3.3542199263945489E-8</v>
      </c>
      <c r="L123">
        <f t="shared" si="3"/>
        <v>-0.18745351900897606</v>
      </c>
      <c r="N123">
        <f t="shared" si="4"/>
        <v>0.10728149007006176</v>
      </c>
    </row>
    <row r="124" spans="1:14" x14ac:dyDescent="0.35">
      <c r="A124" t="s">
        <v>156</v>
      </c>
      <c r="B124">
        <v>8.341995271621272E-5</v>
      </c>
      <c r="J124">
        <f t="shared" si="5"/>
        <v>7.1588396732493514E-10</v>
      </c>
      <c r="L124">
        <f t="shared" si="3"/>
        <v>-5.8448080109983313E-4</v>
      </c>
      <c r="N124">
        <f t="shared" si="4"/>
        <v>4.8868273988550869E-5</v>
      </c>
    </row>
    <row r="125" spans="1:14" x14ac:dyDescent="0.35">
      <c r="A125" t="s">
        <v>157</v>
      </c>
      <c r="B125">
        <v>3.2233881938736893E-5</v>
      </c>
      <c r="J125">
        <f t="shared" si="5"/>
        <v>6.0749676535601691E-9</v>
      </c>
      <c r="L125">
        <f t="shared" si="3"/>
        <v>-1.4448482975768803E-2</v>
      </c>
      <c r="N125">
        <f t="shared" si="4"/>
        <v>3.5190842748244488E-3</v>
      </c>
    </row>
    <row r="126" spans="1:14" x14ac:dyDescent="0.35">
      <c r="A126" t="s">
        <v>158</v>
      </c>
      <c r="B126">
        <v>-7.4666379077825695E-5</v>
      </c>
      <c r="J126">
        <f t="shared" si="5"/>
        <v>3.4166690602841235E-8</v>
      </c>
      <c r="L126">
        <f t="shared" si="3"/>
        <v>-0.19271284733821087</v>
      </c>
      <c r="N126">
        <f t="shared" si="4"/>
        <v>0.11131342802606671</v>
      </c>
    </row>
    <row r="127" spans="1:14" x14ac:dyDescent="0.35">
      <c r="A127" t="s">
        <v>159</v>
      </c>
      <c r="B127">
        <v>8.4338193119037896E-5</v>
      </c>
      <c r="J127">
        <f t="shared" si="5"/>
        <v>6.6759023752367664E-10</v>
      </c>
      <c r="L127">
        <f t="shared" si="3"/>
        <v>-5.2634592085476441E-4</v>
      </c>
      <c r="N127">
        <f t="shared" si="4"/>
        <v>4.2497333597167939E-5</v>
      </c>
    </row>
    <row r="128" spans="1:14" x14ac:dyDescent="0.35">
      <c r="A128" t="s">
        <v>160</v>
      </c>
      <c r="B128">
        <v>-1.287995110033E-4</v>
      </c>
      <c r="J128">
        <f t="shared" si="5"/>
        <v>5.7109276112402788E-8</v>
      </c>
      <c r="L128">
        <f t="shared" si="3"/>
        <v>-0.41645327212687178</v>
      </c>
      <c r="N128">
        <f t="shared" si="4"/>
        <v>0.31099616836292948</v>
      </c>
    </row>
    <row r="129" spans="1:14" x14ac:dyDescent="0.35">
      <c r="A129" t="s">
        <v>161</v>
      </c>
      <c r="B129">
        <v>4.355096607469E-4</v>
      </c>
      <c r="J129">
        <f t="shared" si="5"/>
        <v>1.0584201633639647E-7</v>
      </c>
      <c r="L129">
        <f t="shared" si="3"/>
        <v>1.0507356146760076</v>
      </c>
      <c r="N129">
        <f t="shared" si="4"/>
        <v>1.0682131924755303</v>
      </c>
    </row>
    <row r="130" spans="1:14" x14ac:dyDescent="0.35">
      <c r="A130" t="s">
        <v>162</v>
      </c>
      <c r="B130">
        <v>5.7332077994939998E-4</v>
      </c>
      <c r="J130">
        <f t="shared" si="5"/>
        <v>2.1450312352665014E-7</v>
      </c>
      <c r="L130">
        <f t="shared" si="3"/>
        <v>3.0314940957136889</v>
      </c>
      <c r="N130">
        <f t="shared" si="4"/>
        <v>4.3874175584128672</v>
      </c>
    </row>
    <row r="131" spans="1:14" x14ac:dyDescent="0.35">
      <c r="A131" t="s">
        <v>163</v>
      </c>
      <c r="B131">
        <v>5.0281238509340004E-4</v>
      </c>
      <c r="J131">
        <f t="shared" si="5"/>
        <v>1.5416336170032E-7</v>
      </c>
      <c r="L131">
        <f t="shared" ref="L131:L194" si="6">((B131 - $E$4) / $E$7)^3</f>
        <v>1.8470474557307246</v>
      </c>
      <c r="N131">
        <f t="shared" ref="N131:N194" si="7">((B131 - $E$4) / $E$7)^4</f>
        <v>2.266230455893417</v>
      </c>
    </row>
    <row r="132" spans="1:14" x14ac:dyDescent="0.35">
      <c r="A132" t="s">
        <v>164</v>
      </c>
      <c r="B132">
        <v>1.2961588799949999E-4</v>
      </c>
      <c r="J132">
        <f t="shared" ref="J132:J195" si="8">(B132-$E$4)^2</f>
        <v>3.7791077043351844E-10</v>
      </c>
      <c r="L132">
        <f t="shared" si="6"/>
        <v>2.2417655966893457E-4</v>
      </c>
      <c r="N132">
        <f t="shared" si="7"/>
        <v>1.3618217515688E-5</v>
      </c>
    </row>
    <row r="133" spans="1:14" x14ac:dyDescent="0.35">
      <c r="A133" t="s">
        <v>165</v>
      </c>
      <c r="B133">
        <v>8.4535058704204857E-6</v>
      </c>
      <c r="J133">
        <f t="shared" si="8"/>
        <v>1.0347457832129939E-8</v>
      </c>
      <c r="L133">
        <f t="shared" si="6"/>
        <v>-3.2118613818593302E-2</v>
      </c>
      <c r="N133">
        <f t="shared" si="7"/>
        <v>1.020960777931107E-2</v>
      </c>
    </row>
    <row r="134" spans="1:14" x14ac:dyDescent="0.35">
      <c r="A134" t="s">
        <v>167</v>
      </c>
      <c r="B134">
        <v>3.9315174217329998E-4</v>
      </c>
      <c r="J134">
        <f t="shared" si="8"/>
        <v>8.0075292857100153E-8</v>
      </c>
      <c r="L134">
        <f t="shared" si="6"/>
        <v>0.69143936203898493</v>
      </c>
      <c r="N134">
        <f t="shared" si="7"/>
        <v>0.61141881506492923</v>
      </c>
    </row>
    <row r="135" spans="1:14" x14ac:dyDescent="0.35">
      <c r="A135" t="s">
        <v>168</v>
      </c>
      <c r="B135">
        <v>2.2736419850843959E-5</v>
      </c>
      <c r="J135">
        <f t="shared" si="8"/>
        <v>7.6456733172985531E-9</v>
      </c>
      <c r="L135">
        <f t="shared" si="6"/>
        <v>-2.0399987543309354E-2</v>
      </c>
      <c r="N135">
        <f t="shared" si="7"/>
        <v>5.5740800706209157E-3</v>
      </c>
    </row>
    <row r="136" spans="1:14" x14ac:dyDescent="0.35">
      <c r="A136" t="s">
        <v>169</v>
      </c>
      <c r="B136">
        <v>7.5424046372063458E-5</v>
      </c>
      <c r="J136">
        <f t="shared" si="8"/>
        <v>1.2076955547768912E-9</v>
      </c>
      <c r="L136">
        <f t="shared" si="6"/>
        <v>-1.2806855147436105E-3</v>
      </c>
      <c r="N136">
        <f t="shared" si="7"/>
        <v>1.390774320693315E-4</v>
      </c>
    </row>
    <row r="137" spans="1:14" x14ac:dyDescent="0.35">
      <c r="A137" t="s">
        <v>171</v>
      </c>
      <c r="B137">
        <v>2.053221251117E-4</v>
      </c>
      <c r="J137">
        <f t="shared" si="8"/>
        <v>9.0527925876910083E-9</v>
      </c>
      <c r="L137">
        <f t="shared" si="6"/>
        <v>2.6283315668170579E-2</v>
      </c>
      <c r="N137">
        <f t="shared" si="7"/>
        <v>7.8146020701749096E-3</v>
      </c>
    </row>
    <row r="138" spans="1:14" x14ac:dyDescent="0.35">
      <c r="A138" t="s">
        <v>172</v>
      </c>
      <c r="B138">
        <v>5.4222531616680001E-4</v>
      </c>
      <c r="J138">
        <f t="shared" si="8"/>
        <v>1.8666664549312889E-7</v>
      </c>
      <c r="L138">
        <f t="shared" si="6"/>
        <v>2.4609703443510256</v>
      </c>
      <c r="N138">
        <f t="shared" si="7"/>
        <v>3.3225779130467021</v>
      </c>
    </row>
    <row r="139" spans="1:14" x14ac:dyDescent="0.35">
      <c r="A139" t="s">
        <v>175</v>
      </c>
      <c r="B139">
        <v>6.2465929659080005E-4</v>
      </c>
      <c r="J139">
        <f t="shared" si="8"/>
        <v>2.6469310283055646E-7</v>
      </c>
      <c r="L139">
        <f t="shared" si="6"/>
        <v>4.1554707833909896</v>
      </c>
      <c r="N139">
        <f t="shared" si="7"/>
        <v>6.6807770315807575</v>
      </c>
    </row>
    <row r="140" spans="1:14" x14ac:dyDescent="0.35">
      <c r="A140" t="s">
        <v>176</v>
      </c>
      <c r="B140">
        <v>-5.9775156842079007E-5</v>
      </c>
      <c r="J140">
        <f t="shared" si="8"/>
        <v>2.8883382379821714E-8</v>
      </c>
      <c r="L140">
        <f t="shared" si="6"/>
        <v>-0.14978846508274765</v>
      </c>
      <c r="N140">
        <f t="shared" si="7"/>
        <v>7.9549568327559841E-2</v>
      </c>
    </row>
    <row r="141" spans="1:14" x14ac:dyDescent="0.35">
      <c r="A141" t="s">
        <v>178</v>
      </c>
      <c r="B141">
        <v>3.822788130491E-4</v>
      </c>
      <c r="J141">
        <f t="shared" si="8"/>
        <v>7.4039962214856129E-8</v>
      </c>
      <c r="L141">
        <f t="shared" si="6"/>
        <v>0.61475996676932776</v>
      </c>
      <c r="N141">
        <f t="shared" si="7"/>
        <v>0.5227260029853078</v>
      </c>
    </row>
    <row r="142" spans="1:14" x14ac:dyDescent="0.35">
      <c r="A142" t="s">
        <v>180</v>
      </c>
      <c r="B142">
        <v>7.5662152084987611E-5</v>
      </c>
      <c r="J142">
        <f t="shared" si="8"/>
        <v>1.1912029903978985E-9</v>
      </c>
      <c r="L142">
        <f t="shared" si="6"/>
        <v>-1.2545412862646182E-3</v>
      </c>
      <c r="N142">
        <f t="shared" si="7"/>
        <v>1.353048230664477E-4</v>
      </c>
    </row>
    <row r="143" spans="1:14" x14ac:dyDescent="0.35">
      <c r="A143" t="s">
        <v>181</v>
      </c>
      <c r="B143">
        <v>1.5218340558930001E-4</v>
      </c>
      <c r="J143">
        <f t="shared" si="8"/>
        <v>1.7646254196960781E-9</v>
      </c>
      <c r="L143">
        <f t="shared" si="6"/>
        <v>2.2619608938083476E-3</v>
      </c>
      <c r="N143">
        <f t="shared" si="7"/>
        <v>2.9692501681193446E-4</v>
      </c>
    </row>
    <row r="144" spans="1:14" x14ac:dyDescent="0.35">
      <c r="A144" t="s">
        <v>182</v>
      </c>
      <c r="B144">
        <v>3.5368968383400003E-4</v>
      </c>
      <c r="J144">
        <f t="shared" si="8"/>
        <v>5.9298933317299537E-8</v>
      </c>
      <c r="L144">
        <f t="shared" si="6"/>
        <v>0.44063259246087561</v>
      </c>
      <c r="N144">
        <f t="shared" si="7"/>
        <v>0.33530149530063719</v>
      </c>
    </row>
    <row r="145" spans="1:14" x14ac:dyDescent="0.35">
      <c r="A145" t="s">
        <v>183</v>
      </c>
      <c r="B145">
        <v>3.1089762342160002E-4</v>
      </c>
      <c r="J145">
        <f t="shared" si="8"/>
        <v>4.0289185854992496E-8</v>
      </c>
      <c r="L145">
        <f t="shared" si="6"/>
        <v>0.24676810893822748</v>
      </c>
      <c r="N145">
        <f t="shared" si="7"/>
        <v>0.15478137864480737</v>
      </c>
    </row>
    <row r="146" spans="1:14" x14ac:dyDescent="0.35">
      <c r="A146" t="s">
        <v>184</v>
      </c>
      <c r="B146">
        <v>1.203608990181E-4</v>
      </c>
      <c r="J146">
        <f t="shared" si="8"/>
        <v>1.0373296698414896E-10</v>
      </c>
      <c r="L146">
        <f t="shared" si="6"/>
        <v>3.2238995045780031E-5</v>
      </c>
      <c r="N146">
        <f t="shared" si="7"/>
        <v>1.0260660718262057E-6</v>
      </c>
    </row>
    <row r="147" spans="1:14" x14ac:dyDescent="0.35">
      <c r="A147" t="s">
        <v>185</v>
      </c>
      <c r="B147">
        <v>2.2438800442614599E-5</v>
      </c>
      <c r="J147">
        <f t="shared" si="8"/>
        <v>7.697809303463019E-9</v>
      </c>
      <c r="L147">
        <f t="shared" si="6"/>
        <v>-2.0609004689436335E-2</v>
      </c>
      <c r="N147">
        <f t="shared" si="7"/>
        <v>5.6503587676937639E-3</v>
      </c>
    </row>
    <row r="148" spans="1:14" x14ac:dyDescent="0.35">
      <c r="A148" t="s">
        <v>186</v>
      </c>
      <c r="B148">
        <v>-3.7905767385382212E-5</v>
      </c>
      <c r="J148">
        <f t="shared" si="8"/>
        <v>2.1928198215424953E-8</v>
      </c>
      <c r="L148">
        <f t="shared" si="6"/>
        <v>-9.9085639844582504E-2</v>
      </c>
      <c r="N148">
        <f t="shared" si="7"/>
        <v>4.5850874603705086E-2</v>
      </c>
    </row>
    <row r="149" spans="1:14" x14ac:dyDescent="0.35">
      <c r="A149" t="s">
        <v>187</v>
      </c>
      <c r="B149">
        <v>1.3194077473590001E-4</v>
      </c>
      <c r="J149">
        <f t="shared" si="8"/>
        <v>4.7370712668503456E-10</v>
      </c>
      <c r="L149">
        <f t="shared" si="6"/>
        <v>3.1460902264383373E-4</v>
      </c>
      <c r="N149">
        <f t="shared" si="7"/>
        <v>2.139742755886065E-5</v>
      </c>
    </row>
    <row r="150" spans="1:14" x14ac:dyDescent="0.35">
      <c r="A150" t="s">
        <v>188</v>
      </c>
      <c r="B150">
        <v>-5.3220006520859897E-5</v>
      </c>
      <c r="J150">
        <f t="shared" si="8"/>
        <v>2.6698242129056871E-8</v>
      </c>
      <c r="L150">
        <f t="shared" si="6"/>
        <v>-0.13311601160066855</v>
      </c>
      <c r="N150">
        <f t="shared" si="7"/>
        <v>6.7968402490603694E-2</v>
      </c>
    </row>
    <row r="151" spans="1:14" x14ac:dyDescent="0.35">
      <c r="A151" t="s">
        <v>189</v>
      </c>
      <c r="B151">
        <v>2.6555961812839998E-4</v>
      </c>
      <c r="J151">
        <f t="shared" si="8"/>
        <v>2.4144080972036528E-8</v>
      </c>
      <c r="L151">
        <f t="shared" si="6"/>
        <v>0.11447807400221161</v>
      </c>
      <c r="N151">
        <f t="shared" si="7"/>
        <v>5.5585700817644926E-2</v>
      </c>
    </row>
    <row r="152" spans="1:14" x14ac:dyDescent="0.35">
      <c r="A152" t="s">
        <v>190</v>
      </c>
      <c r="B152">
        <v>8.5776596097269999E-4</v>
      </c>
      <c r="J152">
        <f t="shared" si="8"/>
        <v>5.5889080839327673E-7</v>
      </c>
      <c r="L152">
        <f t="shared" si="6"/>
        <v>12.749605488211374</v>
      </c>
      <c r="N152">
        <f t="shared" si="7"/>
        <v>29.784866790426292</v>
      </c>
    </row>
    <row r="153" spans="1:14" x14ac:dyDescent="0.35">
      <c r="A153" t="s">
        <v>191</v>
      </c>
      <c r="B153">
        <v>-1.2360035907470001E-4</v>
      </c>
      <c r="J153">
        <f t="shared" si="8"/>
        <v>5.4651367723194843E-8</v>
      </c>
      <c r="L153">
        <f t="shared" si="6"/>
        <v>-0.38985925505987762</v>
      </c>
      <c r="N153">
        <f t="shared" si="7"/>
        <v>0.28480250060376278</v>
      </c>
    </row>
    <row r="154" spans="1:14" x14ac:dyDescent="0.35">
      <c r="A154" t="s">
        <v>192</v>
      </c>
      <c r="B154">
        <v>1.5730824088670001E-4</v>
      </c>
      <c r="J154">
        <f t="shared" si="8"/>
        <v>2.2214518283814632E-9</v>
      </c>
      <c r="L154">
        <f t="shared" si="6"/>
        <v>3.194932196822218E-3</v>
      </c>
      <c r="N154">
        <f t="shared" si="7"/>
        <v>4.7056056425776402E-4</v>
      </c>
    </row>
    <row r="155" spans="1:14" x14ac:dyDescent="0.35">
      <c r="A155" t="s">
        <v>193</v>
      </c>
      <c r="B155">
        <v>7.3895649984469995E-4</v>
      </c>
      <c r="J155">
        <f t="shared" si="8"/>
        <v>3.9536496631083089E-7</v>
      </c>
      <c r="L155">
        <f t="shared" si="6"/>
        <v>7.5858381229865302</v>
      </c>
      <c r="N155">
        <f t="shared" si="7"/>
        <v>14.905209839550926</v>
      </c>
    </row>
    <row r="156" spans="1:14" x14ac:dyDescent="0.35">
      <c r="A156" t="s">
        <v>194</v>
      </c>
      <c r="B156">
        <v>-6.1663461383430003E-4</v>
      </c>
      <c r="J156">
        <f t="shared" si="8"/>
        <v>5.2825361136615673E-7</v>
      </c>
      <c r="L156">
        <f t="shared" si="6"/>
        <v>-11.715747629498782</v>
      </c>
      <c r="N156">
        <f t="shared" si="7"/>
        <v>26.608885040243454</v>
      </c>
    </row>
    <row r="157" spans="1:14" x14ac:dyDescent="0.35">
      <c r="A157" t="s">
        <v>195</v>
      </c>
      <c r="B157">
        <v>-1.409053656971E-4</v>
      </c>
      <c r="J157">
        <f t="shared" si="8"/>
        <v>6.304183250376856E-8</v>
      </c>
      <c r="L157">
        <f t="shared" si="6"/>
        <v>-0.48300267825377968</v>
      </c>
      <c r="N157">
        <f t="shared" si="7"/>
        <v>0.37896524735342685</v>
      </c>
    </row>
    <row r="158" spans="1:14" x14ac:dyDescent="0.35">
      <c r="A158" t="s">
        <v>196</v>
      </c>
      <c r="B158">
        <v>5.2633149607572711E-5</v>
      </c>
      <c r="J158">
        <f t="shared" si="8"/>
        <v>3.311175117228796E-9</v>
      </c>
      <c r="L158">
        <f t="shared" si="6"/>
        <v>-5.8140601492443168E-3</v>
      </c>
      <c r="N158">
        <f t="shared" si="7"/>
        <v>1.0454566447248739E-3</v>
      </c>
    </row>
    <row r="159" spans="1:14" x14ac:dyDescent="0.35">
      <c r="A159" t="s">
        <v>197</v>
      </c>
      <c r="B159">
        <v>7.3689105920490003E-4</v>
      </c>
      <c r="J159">
        <f t="shared" si="8"/>
        <v>3.9277181459805413E-7</v>
      </c>
      <c r="L159">
        <f t="shared" si="6"/>
        <v>7.5113287197665954</v>
      </c>
      <c r="N159">
        <f t="shared" si="7"/>
        <v>14.710328054301756</v>
      </c>
    </row>
    <row r="160" spans="1:14" x14ac:dyDescent="0.35">
      <c r="A160" t="s">
        <v>198</v>
      </c>
      <c r="B160">
        <v>-1.61871445016E-4</v>
      </c>
      <c r="J160">
        <f t="shared" si="8"/>
        <v>7.4009790998457389E-8</v>
      </c>
      <c r="L160">
        <f t="shared" si="6"/>
        <v>-0.61438423387329577</v>
      </c>
      <c r="N160">
        <f t="shared" si="7"/>
        <v>0.52230006905744708</v>
      </c>
    </row>
    <row r="161" spans="1:14" x14ac:dyDescent="0.35">
      <c r="A161" t="s">
        <v>199</v>
      </c>
      <c r="B161">
        <v>-1.2780721590380001E-4</v>
      </c>
      <c r="J161">
        <f t="shared" si="8"/>
        <v>5.66359923828716E-8</v>
      </c>
      <c r="L161">
        <f t="shared" si="6"/>
        <v>-0.41128708077083198</v>
      </c>
      <c r="N161">
        <f t="shared" si="7"/>
        <v>0.30586286840419596</v>
      </c>
    </row>
    <row r="162" spans="1:14" x14ac:dyDescent="0.35">
      <c r="A162" t="s">
        <v>200</v>
      </c>
      <c r="B162">
        <v>-1.4272236148819999E-4</v>
      </c>
      <c r="J162">
        <f t="shared" si="8"/>
        <v>6.3957561404326299E-8</v>
      </c>
      <c r="L162">
        <f t="shared" si="6"/>
        <v>-0.49356475602922018</v>
      </c>
      <c r="N162">
        <f t="shared" si="7"/>
        <v>0.39005470475165049</v>
      </c>
    </row>
    <row r="163" spans="1:14" x14ac:dyDescent="0.35">
      <c r="A163" t="s">
        <v>201</v>
      </c>
      <c r="B163">
        <v>1.714540412649E-4</v>
      </c>
      <c r="J163">
        <f t="shared" si="8"/>
        <v>3.7550031483364684E-9</v>
      </c>
      <c r="L163">
        <f t="shared" si="6"/>
        <v>7.0213682967351435E-3</v>
      </c>
      <c r="N163">
        <f t="shared" si="7"/>
        <v>1.3445047430792763E-3</v>
      </c>
    </row>
    <row r="164" spans="1:14" x14ac:dyDescent="0.35">
      <c r="A164" t="s">
        <v>202</v>
      </c>
      <c r="B164">
        <v>1.646992168389E-4</v>
      </c>
      <c r="J164">
        <f t="shared" si="8"/>
        <v>2.9727854516403792E-9</v>
      </c>
      <c r="L164">
        <f t="shared" si="6"/>
        <v>4.9459719178343367E-3</v>
      </c>
      <c r="N164">
        <f t="shared" si="7"/>
        <v>8.4269198173369207E-4</v>
      </c>
    </row>
    <row r="165" spans="1:14" x14ac:dyDescent="0.35">
      <c r="A165" t="s">
        <v>203</v>
      </c>
      <c r="B165">
        <v>1.3033805589649999E-4</v>
      </c>
      <c r="J165">
        <f t="shared" si="8"/>
        <v>4.0651007962583469E-10</v>
      </c>
      <c r="L165">
        <f t="shared" si="6"/>
        <v>2.5009975927017391E-4</v>
      </c>
      <c r="N165">
        <f t="shared" si="7"/>
        <v>1.5757392934536273E-5</v>
      </c>
    </row>
    <row r="166" spans="1:14" x14ac:dyDescent="0.35">
      <c r="A166" t="s">
        <v>204</v>
      </c>
      <c r="B166">
        <v>-1.3245141599319999E-4</v>
      </c>
      <c r="J166">
        <f t="shared" si="8"/>
        <v>5.8868043958171133E-8</v>
      </c>
      <c r="L166">
        <f t="shared" si="6"/>
        <v>-0.43583861322287754</v>
      </c>
      <c r="N166">
        <f t="shared" si="7"/>
        <v>0.33044633444159216</v>
      </c>
    </row>
    <row r="167" spans="1:14" x14ac:dyDescent="0.35">
      <c r="A167" t="s">
        <v>205</v>
      </c>
      <c r="B167">
        <v>-2.978654811158E-4</v>
      </c>
      <c r="J167">
        <f t="shared" si="8"/>
        <v>1.6649781830158959E-7</v>
      </c>
      <c r="L167">
        <f t="shared" si="6"/>
        <v>-2.0730945812351025</v>
      </c>
      <c r="N167">
        <f t="shared" si="7"/>
        <v>2.6433752656491212</v>
      </c>
    </row>
    <row r="168" spans="1:14" x14ac:dyDescent="0.35">
      <c r="A168" t="s">
        <v>206</v>
      </c>
      <c r="B168">
        <v>8.2299491623410005E-4</v>
      </c>
      <c r="J168">
        <f t="shared" si="8"/>
        <v>5.0811086325959005E-7</v>
      </c>
      <c r="L168">
        <f t="shared" si="6"/>
        <v>11.052079899420974</v>
      </c>
      <c r="N168">
        <f t="shared" si="7"/>
        <v>24.6183356088893</v>
      </c>
    </row>
    <row r="169" spans="1:14" x14ac:dyDescent="0.35">
      <c r="A169" t="s">
        <v>207</v>
      </c>
      <c r="B169">
        <v>-8.8423541455995291E-5</v>
      </c>
      <c r="J169">
        <f t="shared" si="8"/>
        <v>3.944176228701552E-8</v>
      </c>
      <c r="L169">
        <f t="shared" si="6"/>
        <v>-0.23902358876739224</v>
      </c>
      <c r="N169">
        <f t="shared" si="7"/>
        <v>0.14833865957731085</v>
      </c>
    </row>
    <row r="170" spans="1:14" x14ac:dyDescent="0.35">
      <c r="A170" t="s">
        <v>208</v>
      </c>
      <c r="B170">
        <v>-3.9518094854420002E-4</v>
      </c>
      <c r="J170">
        <f t="shared" si="8"/>
        <v>2.5538560579822268E-7</v>
      </c>
      <c r="L170">
        <f t="shared" si="6"/>
        <v>-3.9382285771299714</v>
      </c>
      <c r="N170">
        <f t="shared" si="7"/>
        <v>6.219200511297168</v>
      </c>
    </row>
    <row r="171" spans="1:14" x14ac:dyDescent="0.35">
      <c r="A171" t="s">
        <v>209</v>
      </c>
      <c r="B171">
        <v>-1.0286720935255001E-3</v>
      </c>
      <c r="J171">
        <f t="shared" si="8"/>
        <v>1.2969748907875698E-6</v>
      </c>
      <c r="L171">
        <f t="shared" si="6"/>
        <v>-45.071669827340564</v>
      </c>
      <c r="N171">
        <f t="shared" si="7"/>
        <v>160.40018479873959</v>
      </c>
    </row>
    <row r="172" spans="1:14" x14ac:dyDescent="0.35">
      <c r="A172" t="s">
        <v>210</v>
      </c>
      <c r="B172">
        <v>6.2295078532770005E-4</v>
      </c>
      <c r="J172">
        <f t="shared" si="8"/>
        <v>2.6293802069346081E-7</v>
      </c>
      <c r="L172">
        <f t="shared" si="6"/>
        <v>4.114209284003981</v>
      </c>
      <c r="N172">
        <f t="shared" si="7"/>
        <v>6.5924752269739226</v>
      </c>
    </row>
    <row r="173" spans="1:14" x14ac:dyDescent="0.35">
      <c r="A173" t="s">
        <v>211</v>
      </c>
      <c r="B173">
        <v>1.5894454554650001E-4</v>
      </c>
      <c r="J173">
        <f t="shared" si="8"/>
        <v>2.3783748604636149E-9</v>
      </c>
      <c r="L173">
        <f t="shared" si="6"/>
        <v>3.5393764292228026E-3</v>
      </c>
      <c r="N173">
        <f t="shared" si="7"/>
        <v>5.393893150623635E-4</v>
      </c>
    </row>
    <row r="174" spans="1:14" x14ac:dyDescent="0.35">
      <c r="A174" t="s">
        <v>212</v>
      </c>
      <c r="B174">
        <v>5.7398743228979996E-4</v>
      </c>
      <c r="J174">
        <f t="shared" si="8"/>
        <v>2.1512108110728452E-7</v>
      </c>
      <c r="L174">
        <f t="shared" si="6"/>
        <v>3.0446035784003906</v>
      </c>
      <c r="N174">
        <f t="shared" si="7"/>
        <v>4.4127332113454996</v>
      </c>
    </row>
    <row r="175" spans="1:14" x14ac:dyDescent="0.35">
      <c r="A175" t="s">
        <v>213</v>
      </c>
      <c r="B175">
        <v>-2.301605272805E-4</v>
      </c>
      <c r="J175">
        <f t="shared" si="8"/>
        <v>1.1582892510300784E-7</v>
      </c>
      <c r="L175">
        <f t="shared" si="6"/>
        <v>-1.2029063983019539</v>
      </c>
      <c r="N175">
        <f t="shared" si="7"/>
        <v>1.2793099565099582</v>
      </c>
    </row>
    <row r="176" spans="1:14" x14ac:dyDescent="0.35">
      <c r="A176" t="s">
        <v>215</v>
      </c>
      <c r="B176">
        <v>2.585277252364E-4</v>
      </c>
      <c r="J176">
        <f t="shared" si="8"/>
        <v>2.2008246018350247E-8</v>
      </c>
      <c r="L176">
        <f t="shared" si="6"/>
        <v>9.9628695532215483E-2</v>
      </c>
      <c r="N176">
        <f t="shared" si="7"/>
        <v>4.6186238302321568E-2</v>
      </c>
    </row>
    <row r="177" spans="1:14" x14ac:dyDescent="0.35">
      <c r="A177" t="s">
        <v>216</v>
      </c>
      <c r="B177">
        <v>7.655071676708E-4</v>
      </c>
      <c r="J177">
        <f t="shared" si="8"/>
        <v>4.2945899072947184E-7</v>
      </c>
      <c r="L177">
        <f t="shared" si="6"/>
        <v>8.5879368938520404</v>
      </c>
      <c r="N177">
        <f t="shared" si="7"/>
        <v>17.586731208124313</v>
      </c>
    </row>
    <row r="178" spans="1:14" x14ac:dyDescent="0.35">
      <c r="A178" t="s">
        <v>217</v>
      </c>
      <c r="B178">
        <v>1.260910503333E-4</v>
      </c>
      <c r="J178">
        <f t="shared" si="8"/>
        <v>2.5329007559931234E-10</v>
      </c>
      <c r="L178">
        <f t="shared" si="6"/>
        <v>1.2300805633243728E-4</v>
      </c>
      <c r="N178">
        <f t="shared" si="7"/>
        <v>6.1175577096928809E-6</v>
      </c>
    </row>
    <row r="179" spans="1:14" x14ac:dyDescent="0.35">
      <c r="A179" t="s">
        <v>218</v>
      </c>
      <c r="B179">
        <v>-3.5915817716149998E-4</v>
      </c>
      <c r="J179">
        <f t="shared" si="8"/>
        <v>2.2027453303405433E-7</v>
      </c>
      <c r="L179">
        <f t="shared" si="6"/>
        <v>-3.1546612386881057</v>
      </c>
      <c r="N179">
        <f t="shared" si="7"/>
        <v>4.6266889831686395</v>
      </c>
    </row>
    <row r="180" spans="1:14" x14ac:dyDescent="0.35">
      <c r="A180" t="s">
        <v>219</v>
      </c>
      <c r="B180">
        <v>4.627836751751E-4</v>
      </c>
      <c r="J180">
        <f t="shared" si="8"/>
        <v>1.2433220025336806E-7</v>
      </c>
      <c r="L180">
        <f t="shared" si="6"/>
        <v>1.337770838256952</v>
      </c>
      <c r="N180">
        <f t="shared" si="7"/>
        <v>1.474038972792576</v>
      </c>
    </row>
    <row r="181" spans="1:14" x14ac:dyDescent="0.35">
      <c r="A181" t="s">
        <v>220</v>
      </c>
      <c r="B181">
        <v>5.5576756130900002E-4</v>
      </c>
      <c r="J181">
        <f t="shared" si="8"/>
        <v>1.985518744650688E-7</v>
      </c>
      <c r="L181">
        <f t="shared" si="6"/>
        <v>2.6997110428089948</v>
      </c>
      <c r="N181">
        <f t="shared" si="7"/>
        <v>3.7591504766073798</v>
      </c>
    </row>
    <row r="182" spans="1:14" x14ac:dyDescent="0.35">
      <c r="A182" t="s">
        <v>221</v>
      </c>
      <c r="B182">
        <v>1.158544328063E-4</v>
      </c>
      <c r="J182">
        <f t="shared" si="8"/>
        <v>3.2245044592631528E-11</v>
      </c>
      <c r="L182">
        <f t="shared" si="6"/>
        <v>5.5872842779791967E-6</v>
      </c>
      <c r="N182">
        <f t="shared" si="7"/>
        <v>9.914428644726599E-8</v>
      </c>
    </row>
    <row r="183" spans="1:14" x14ac:dyDescent="0.35">
      <c r="A183" t="s">
        <v>222</v>
      </c>
      <c r="B183">
        <v>7.3149887612089515E-5</v>
      </c>
      <c r="J183">
        <f t="shared" si="8"/>
        <v>1.3709300939801215E-9</v>
      </c>
      <c r="L183">
        <f t="shared" si="6"/>
        <v>-1.5489209743642499E-3</v>
      </c>
      <c r="N183">
        <f t="shared" si="7"/>
        <v>1.7921417098505415E-4</v>
      </c>
    </row>
    <row r="184" spans="1:14" x14ac:dyDescent="0.35">
      <c r="A184" t="s">
        <v>223</v>
      </c>
      <c r="B184">
        <v>5.4636731510979998E-4</v>
      </c>
      <c r="J184">
        <f t="shared" si="8"/>
        <v>1.9026289759507316E-7</v>
      </c>
      <c r="L184">
        <f t="shared" si="6"/>
        <v>2.5324300342931538</v>
      </c>
      <c r="N184">
        <f t="shared" si="7"/>
        <v>3.4518343066563424</v>
      </c>
    </row>
    <row r="185" spans="1:14" x14ac:dyDescent="0.35">
      <c r="A185" t="s">
        <v>224</v>
      </c>
      <c r="B185">
        <v>-2.1775600907849999E-4</v>
      </c>
      <c r="J185">
        <f t="shared" si="8"/>
        <v>1.0753937685301468E-7</v>
      </c>
      <c r="L185">
        <f t="shared" si="6"/>
        <v>-1.0761122349269696</v>
      </c>
      <c r="N185">
        <f t="shared" si="7"/>
        <v>1.1027492190337556</v>
      </c>
    </row>
    <row r="186" spans="1:14" x14ac:dyDescent="0.35">
      <c r="A186" t="s">
        <v>225</v>
      </c>
      <c r="B186">
        <v>7.3623261414460005E-4</v>
      </c>
      <c r="J186">
        <f t="shared" si="8"/>
        <v>3.9194693322640042E-7</v>
      </c>
      <c r="L186">
        <f t="shared" si="6"/>
        <v>7.4876787250917571</v>
      </c>
      <c r="N186">
        <f t="shared" si="7"/>
        <v>14.648605022212674</v>
      </c>
    </row>
    <row r="187" spans="1:14" x14ac:dyDescent="0.35">
      <c r="A187" t="s">
        <v>226</v>
      </c>
      <c r="B187">
        <v>-8.1285921623930335E-5</v>
      </c>
      <c r="J187">
        <f t="shared" si="8"/>
        <v>3.6657652412336093E-8</v>
      </c>
      <c r="L187">
        <f t="shared" si="6"/>
        <v>-0.2141673530562192</v>
      </c>
      <c r="N187">
        <f t="shared" si="7"/>
        <v>0.12813595957444154</v>
      </c>
    </row>
    <row r="188" spans="1:14" x14ac:dyDescent="0.35">
      <c r="A188" t="s">
        <v>227</v>
      </c>
      <c r="B188">
        <v>4.4630432967090002E-4</v>
      </c>
      <c r="J188">
        <f t="shared" si="8"/>
        <v>1.1298228037557496E-7</v>
      </c>
      <c r="L188">
        <f t="shared" si="6"/>
        <v>1.158835523678627</v>
      </c>
      <c r="N188">
        <f t="shared" si="7"/>
        <v>1.2172012784440476</v>
      </c>
    </row>
    <row r="189" spans="1:14" x14ac:dyDescent="0.35">
      <c r="A189" t="s">
        <v>228</v>
      </c>
      <c r="B189">
        <v>-1.178376478492E-4</v>
      </c>
      <c r="J189">
        <f t="shared" si="8"/>
        <v>5.199020571853756E-8</v>
      </c>
      <c r="L189">
        <f t="shared" si="6"/>
        <v>-0.36173339100193902</v>
      </c>
      <c r="N189">
        <f t="shared" si="7"/>
        <v>0.25774176574805036</v>
      </c>
    </row>
    <row r="190" spans="1:14" x14ac:dyDescent="0.35">
      <c r="A190" t="s">
        <v>229</v>
      </c>
      <c r="B190">
        <v>-5.5605476518394432E-5</v>
      </c>
      <c r="J190">
        <f t="shared" si="8"/>
        <v>2.7483484951578224E-8</v>
      </c>
      <c r="L190">
        <f t="shared" si="6"/>
        <v>-0.13903175262756651</v>
      </c>
      <c r="N190">
        <f t="shared" si="7"/>
        <v>7.2025342142532631E-2</v>
      </c>
    </row>
    <row r="191" spans="1:14" x14ac:dyDescent="0.35">
      <c r="A191" t="s">
        <v>230</v>
      </c>
      <c r="B191">
        <v>2.9118418751750141E-5</v>
      </c>
      <c r="J191">
        <f t="shared" si="8"/>
        <v>6.5703251191025034E-9</v>
      </c>
      <c r="L191">
        <f t="shared" si="6"/>
        <v>-1.6251243072866097E-2</v>
      </c>
      <c r="N191">
        <f t="shared" si="7"/>
        <v>4.1163798936930431E-3</v>
      </c>
    </row>
    <row r="192" spans="1:14" x14ac:dyDescent="0.35">
      <c r="A192" t="s">
        <v>231</v>
      </c>
      <c r="B192">
        <v>6.7836750531569123E-5</v>
      </c>
      <c r="J192">
        <f t="shared" si="8"/>
        <v>1.7926087241688544E-9</v>
      </c>
      <c r="L192">
        <f t="shared" si="6"/>
        <v>-2.3159786650218976E-3</v>
      </c>
      <c r="N192">
        <f t="shared" si="7"/>
        <v>3.0641691732803629E-4</v>
      </c>
    </row>
    <row r="193" spans="1:14" x14ac:dyDescent="0.35">
      <c r="A193" t="s">
        <v>232</v>
      </c>
      <c r="B193">
        <v>8.5356662748379999E-4</v>
      </c>
      <c r="J193">
        <f t="shared" si="8"/>
        <v>5.5262968334744689E-7</v>
      </c>
      <c r="L193">
        <f t="shared" si="6"/>
        <v>12.535960309234509</v>
      </c>
      <c r="N193">
        <f t="shared" si="7"/>
        <v>29.121258842471995</v>
      </c>
    </row>
    <row r="194" spans="1:14" x14ac:dyDescent="0.35">
      <c r="A194" t="s">
        <v>233</v>
      </c>
      <c r="B194">
        <v>2.763269294518E-4</v>
      </c>
      <c r="J194">
        <f t="shared" si="8"/>
        <v>2.7606144391723273E-8</v>
      </c>
      <c r="L194">
        <f t="shared" si="6"/>
        <v>0.13996354332549532</v>
      </c>
      <c r="N194">
        <f t="shared" si="7"/>
        <v>7.2669678379109481E-2</v>
      </c>
    </row>
    <row r="195" spans="1:14" x14ac:dyDescent="0.35">
      <c r="A195" t="s">
        <v>234</v>
      </c>
      <c r="B195">
        <v>2.4929604478529651E-5</v>
      </c>
      <c r="J195">
        <f t="shared" si="8"/>
        <v>7.2669412620893564E-9</v>
      </c>
      <c r="L195">
        <f t="shared" ref="L195:L223" si="9">((B195 - $E$4) / $E$7)^3</f>
        <v>-1.8903132154373732E-2</v>
      </c>
      <c r="N195">
        <f t="shared" ref="N195:N223" si="10">((B195 - $E$4) / $E$7)^4</f>
        <v>5.0355281415659413E-3</v>
      </c>
    </row>
    <row r="196" spans="1:14" x14ac:dyDescent="0.35">
      <c r="A196" t="s">
        <v>235</v>
      </c>
      <c r="B196">
        <v>-2.2297033865470439E-5</v>
      </c>
      <c r="J196">
        <f t="shared" ref="J196:J223" si="11">(B196-$E$4)^2</f>
        <v>1.7549094309425282E-8</v>
      </c>
      <c r="L196">
        <f t="shared" si="9"/>
        <v>-7.0939538302840596E-2</v>
      </c>
      <c r="N196">
        <f t="shared" si="10"/>
        <v>2.9366429310422673E-2</v>
      </c>
    </row>
    <row r="197" spans="1:14" x14ac:dyDescent="0.35">
      <c r="A197" t="s">
        <v>236</v>
      </c>
      <c r="B197">
        <v>3.6699313204729999E-4</v>
      </c>
      <c r="J197">
        <f t="shared" si="11"/>
        <v>6.5955059459508756E-8</v>
      </c>
      <c r="L197">
        <f t="shared" si="9"/>
        <v>0.51686660140521934</v>
      </c>
      <c r="N197">
        <f t="shared" si="10"/>
        <v>0.41479924774211929</v>
      </c>
    </row>
    <row r="198" spans="1:14" x14ac:dyDescent="0.35">
      <c r="A198" t="s">
        <v>237</v>
      </c>
      <c r="B198">
        <v>2.3732322733840001E-4</v>
      </c>
      <c r="J198">
        <f t="shared" si="11"/>
        <v>1.6166427394149654E-8</v>
      </c>
      <c r="L198">
        <f t="shared" si="9"/>
        <v>6.2723080555384003E-2</v>
      </c>
      <c r="N198">
        <f t="shared" si="10"/>
        <v>2.4921251036960742E-2</v>
      </c>
    </row>
    <row r="199" spans="1:14" x14ac:dyDescent="0.35">
      <c r="A199" t="s">
        <v>238</v>
      </c>
      <c r="B199">
        <v>6.7814653448294848E-5</v>
      </c>
      <c r="J199">
        <f t="shared" si="11"/>
        <v>1.7944803585590445E-9</v>
      </c>
      <c r="L199">
        <f t="shared" si="9"/>
        <v>-2.319606726600529E-3</v>
      </c>
      <c r="N199">
        <f t="shared" si="10"/>
        <v>3.0705710146173621E-4</v>
      </c>
    </row>
    <row r="200" spans="1:14" x14ac:dyDescent="0.35">
      <c r="A200" t="s">
        <v>239</v>
      </c>
      <c r="B200">
        <v>4.4146867003290002E-4</v>
      </c>
      <c r="J200">
        <f t="shared" si="11"/>
        <v>1.0975485920641121E-7</v>
      </c>
      <c r="L200">
        <f t="shared" si="9"/>
        <v>1.1095373625555407</v>
      </c>
      <c r="N200">
        <f t="shared" si="10"/>
        <v>1.1486540327417283</v>
      </c>
    </row>
    <row r="201" spans="1:14" x14ac:dyDescent="0.35">
      <c r="A201" t="s">
        <v>240</v>
      </c>
      <c r="B201">
        <v>-7.6838863606099039E-5</v>
      </c>
      <c r="J201">
        <f t="shared" si="11"/>
        <v>3.4974544538873779E-8</v>
      </c>
      <c r="L201">
        <f t="shared" si="9"/>
        <v>-0.19958798658434951</v>
      </c>
      <c r="N201">
        <f t="shared" si="10"/>
        <v>0.11663955733992062</v>
      </c>
    </row>
    <row r="202" spans="1:14" x14ac:dyDescent="0.35">
      <c r="A202" t="s">
        <v>241</v>
      </c>
      <c r="B202">
        <v>-5.6739256251603358E-5</v>
      </c>
      <c r="J202">
        <f t="shared" si="11"/>
        <v>2.7860689675556167E-8</v>
      </c>
      <c r="L202">
        <f t="shared" si="9"/>
        <v>-0.14190382114847891</v>
      </c>
      <c r="N202">
        <f t="shared" si="10"/>
        <v>7.4015973155009712E-2</v>
      </c>
    </row>
    <row r="203" spans="1:14" x14ac:dyDescent="0.35">
      <c r="A203" t="s">
        <v>242</v>
      </c>
      <c r="B203">
        <v>3.7062398041589999E-4</v>
      </c>
      <c r="J203">
        <f t="shared" si="11"/>
        <v>6.7833170934058241E-8</v>
      </c>
      <c r="L203">
        <f t="shared" si="9"/>
        <v>0.53910017701301438</v>
      </c>
      <c r="N203">
        <f t="shared" si="10"/>
        <v>0.43875892717684023</v>
      </c>
    </row>
    <row r="204" spans="1:14" x14ac:dyDescent="0.35">
      <c r="A204" t="s">
        <v>243</v>
      </c>
      <c r="B204">
        <v>2.3893809702710001E-4</v>
      </c>
      <c r="J204">
        <f t="shared" si="11"/>
        <v>1.6579687731804712E-8</v>
      </c>
      <c r="L204">
        <f t="shared" si="9"/>
        <v>6.5143459093034317E-2</v>
      </c>
      <c r="N204">
        <f t="shared" si="10"/>
        <v>2.6211653663172411E-2</v>
      </c>
    </row>
    <row r="205" spans="1:14" x14ac:dyDescent="0.35">
      <c r="A205" t="s">
        <v>244</v>
      </c>
      <c r="B205">
        <v>2.2118123888500001E-4</v>
      </c>
      <c r="J205">
        <f t="shared" si="11"/>
        <v>1.2322171767933908E-8</v>
      </c>
      <c r="L205">
        <f t="shared" si="9"/>
        <v>4.1738533266764521E-2</v>
      </c>
      <c r="N205">
        <f t="shared" si="10"/>
        <v>1.4478255773140023E-2</v>
      </c>
    </row>
    <row r="206" spans="1:14" x14ac:dyDescent="0.35">
      <c r="A206" t="s">
        <v>245</v>
      </c>
      <c r="B206">
        <v>2.8288472094570001E-4</v>
      </c>
      <c r="J206">
        <f t="shared" si="11"/>
        <v>2.9828315839164321E-8</v>
      </c>
      <c r="L206">
        <f t="shared" si="9"/>
        <v>0.15719886110457887</v>
      </c>
      <c r="N206">
        <f t="shared" si="10"/>
        <v>8.4839713588465968E-2</v>
      </c>
    </row>
    <row r="207" spans="1:14" x14ac:dyDescent="0.35">
      <c r="A207" t="s">
        <v>246</v>
      </c>
      <c r="B207">
        <v>3.9086930337360002E-4</v>
      </c>
      <c r="J207">
        <f t="shared" si="11"/>
        <v>7.8788752578303822E-8</v>
      </c>
      <c r="L207">
        <f t="shared" si="9"/>
        <v>0.67484282167252674</v>
      </c>
      <c r="N207">
        <f t="shared" si="10"/>
        <v>0.59192976223604787</v>
      </c>
    </row>
    <row r="208" spans="1:14" x14ac:dyDescent="0.35">
      <c r="A208" t="s">
        <v>247</v>
      </c>
      <c r="B208">
        <v>1.6302533913400001E-4</v>
      </c>
      <c r="J208">
        <f t="shared" si="11"/>
        <v>2.7930567927687045E-9</v>
      </c>
      <c r="L208">
        <f t="shared" si="9"/>
        <v>4.5042858683802421E-3</v>
      </c>
      <c r="N208">
        <f t="shared" si="10"/>
        <v>7.4387722243363693E-4</v>
      </c>
    </row>
    <row r="209" spans="1:14" x14ac:dyDescent="0.35">
      <c r="A209" t="s">
        <v>248</v>
      </c>
      <c r="B209">
        <v>-2.3937564401419999E-4</v>
      </c>
      <c r="J209">
        <f t="shared" si="11"/>
        <v>1.2218632441179001E-7</v>
      </c>
      <c r="L209">
        <f t="shared" si="9"/>
        <v>-1.30328740043155</v>
      </c>
      <c r="N209">
        <f t="shared" si="10"/>
        <v>1.4235965569460647</v>
      </c>
    </row>
    <row r="210" spans="1:14" x14ac:dyDescent="0.35">
      <c r="A210" t="s">
        <v>249</v>
      </c>
      <c r="B210">
        <v>-1.6139842045959089E-5</v>
      </c>
      <c r="J210">
        <f t="shared" si="11"/>
        <v>1.5955682042695479E-8</v>
      </c>
      <c r="L210">
        <f t="shared" si="9"/>
        <v>-6.1500600420400064E-2</v>
      </c>
      <c r="N210">
        <f t="shared" si="10"/>
        <v>2.4275739826517109E-2</v>
      </c>
    </row>
    <row r="211" spans="1:14" x14ac:dyDescent="0.35">
      <c r="A211" t="s">
        <v>250</v>
      </c>
      <c r="B211">
        <v>5.2571832202370002E-4</v>
      </c>
      <c r="J211">
        <f t="shared" si="11"/>
        <v>1.7267545399085533E-7</v>
      </c>
      <c r="L211">
        <f t="shared" si="9"/>
        <v>2.1895365815728711</v>
      </c>
      <c r="N211">
        <f t="shared" si="10"/>
        <v>2.8431707380694671</v>
      </c>
    </row>
    <row r="212" spans="1:14" x14ac:dyDescent="0.35">
      <c r="A212" t="s">
        <v>251</v>
      </c>
      <c r="B212">
        <v>2.4133690749290001E-4</v>
      </c>
      <c r="J212">
        <f t="shared" si="11"/>
        <v>1.7203193943528711E-8</v>
      </c>
      <c r="L212">
        <f t="shared" si="9"/>
        <v>6.8852533307349376E-2</v>
      </c>
      <c r="N212">
        <f t="shared" si="10"/>
        <v>2.8220187739676422E-2</v>
      </c>
    </row>
    <row r="213" spans="1:14" x14ac:dyDescent="0.35">
      <c r="A213" t="s">
        <v>252</v>
      </c>
      <c r="B213">
        <v>-4.2434383067299999E-4</v>
      </c>
      <c r="J213">
        <f t="shared" si="11"/>
        <v>2.8571140745127242E-7</v>
      </c>
      <c r="L213">
        <f t="shared" si="9"/>
        <v>-4.6601260793172203</v>
      </c>
      <c r="N213">
        <f t="shared" si="10"/>
        <v>7.783893564971228</v>
      </c>
    </row>
    <row r="214" spans="1:14" x14ac:dyDescent="0.35">
      <c r="A214" t="s">
        <v>253</v>
      </c>
      <c r="B214">
        <v>-2.9913012986069998E-4</v>
      </c>
      <c r="J214">
        <f t="shared" si="11"/>
        <v>1.6753147583275027E-7</v>
      </c>
      <c r="L214">
        <f t="shared" si="9"/>
        <v>-2.09242989993471</v>
      </c>
      <c r="N214">
        <f t="shared" si="10"/>
        <v>2.6762985351275188</v>
      </c>
    </row>
    <row r="215" spans="1:14" x14ac:dyDescent="0.35">
      <c r="A215" t="s">
        <v>254</v>
      </c>
      <c r="B215">
        <v>6.0709920944646001E-5</v>
      </c>
      <c r="J215">
        <f t="shared" si="11"/>
        <v>2.4468890966517008E-9</v>
      </c>
      <c r="L215">
        <f t="shared" si="9"/>
        <v>-3.6934117320835259E-3</v>
      </c>
      <c r="N215">
        <f t="shared" si="10"/>
        <v>5.7091348237189746E-4</v>
      </c>
    </row>
    <row r="216" spans="1:14" x14ac:dyDescent="0.35">
      <c r="A216" t="s">
        <v>255</v>
      </c>
      <c r="B216">
        <v>3.2937803189269998E-4</v>
      </c>
      <c r="J216">
        <f t="shared" si="11"/>
        <v>4.8049547981608835E-8</v>
      </c>
      <c r="L216">
        <f t="shared" si="9"/>
        <v>0.32139584320214043</v>
      </c>
      <c r="N216">
        <f t="shared" si="10"/>
        <v>0.22015083683966702</v>
      </c>
    </row>
    <row r="217" spans="1:14" x14ac:dyDescent="0.35">
      <c r="A217" t="s">
        <v>256</v>
      </c>
      <c r="B217">
        <v>-3.3890805207189998E-4</v>
      </c>
      <c r="J217">
        <f t="shared" si="11"/>
        <v>2.016764505960685E-7</v>
      </c>
      <c r="L217">
        <f t="shared" si="9"/>
        <v>-2.7636884264467194</v>
      </c>
      <c r="N217">
        <f t="shared" si="10"/>
        <v>3.8783956089486713</v>
      </c>
    </row>
    <row r="218" spans="1:14" x14ac:dyDescent="0.35">
      <c r="A218" t="s">
        <v>257</v>
      </c>
      <c r="B218">
        <v>-6.1159094912E-5</v>
      </c>
      <c r="J218">
        <f t="shared" si="11"/>
        <v>2.9355701307799186E-8</v>
      </c>
      <c r="L218">
        <f t="shared" si="9"/>
        <v>-0.15347759528749552</v>
      </c>
      <c r="N218">
        <f t="shared" si="10"/>
        <v>8.2172527986032473E-2</v>
      </c>
    </row>
    <row r="219" spans="1:14" x14ac:dyDescent="0.35">
      <c r="A219" t="s">
        <v>258</v>
      </c>
      <c r="B219">
        <v>8.2407158333799998E-4</v>
      </c>
      <c r="J219">
        <f t="shared" si="11"/>
        <v>5.0964695991239757E-7</v>
      </c>
      <c r="L219">
        <f t="shared" si="9"/>
        <v>11.10223594441123</v>
      </c>
      <c r="N219">
        <f t="shared" si="10"/>
        <v>24.767410575198966</v>
      </c>
    </row>
    <row r="220" spans="1:14" x14ac:dyDescent="0.35">
      <c r="A220" t="s">
        <v>259</v>
      </c>
      <c r="B220">
        <v>1.2816998059860001E-4</v>
      </c>
      <c r="J220">
        <f t="shared" si="11"/>
        <v>3.2378474935626045E-10</v>
      </c>
      <c r="L220">
        <f t="shared" si="9"/>
        <v>1.7778326568549613E-4</v>
      </c>
      <c r="N220">
        <f t="shared" si="10"/>
        <v>9.9966504365642422E-6</v>
      </c>
    </row>
    <row r="221" spans="1:14" x14ac:dyDescent="0.35">
      <c r="A221" t="s">
        <v>260</v>
      </c>
      <c r="B221">
        <v>7.8915618360042572E-5</v>
      </c>
      <c r="J221">
        <f t="shared" si="11"/>
        <v>9.7720900799741219E-10</v>
      </c>
      <c r="L221">
        <f t="shared" si="9"/>
        <v>-9.3215361531783078E-4</v>
      </c>
      <c r="N221">
        <f t="shared" si="10"/>
        <v>9.1057694691702268E-5</v>
      </c>
    </row>
    <row r="222" spans="1:14" x14ac:dyDescent="0.35">
      <c r="A222" t="s">
        <v>261</v>
      </c>
      <c r="B222">
        <v>5.9162412071600003E-4</v>
      </c>
      <c r="J222">
        <f t="shared" si="11"/>
        <v>2.3179233070908042E-7</v>
      </c>
      <c r="L222">
        <f t="shared" si="9"/>
        <v>3.4052961657023038</v>
      </c>
      <c r="N222">
        <f t="shared" si="10"/>
        <v>5.1231828038511207</v>
      </c>
    </row>
    <row r="223" spans="1:14" x14ac:dyDescent="0.35">
      <c r="A223" t="s">
        <v>262</v>
      </c>
      <c r="B223">
        <v>3.9426321745849999E-4</v>
      </c>
      <c r="J223">
        <f t="shared" si="11"/>
        <v>8.0705569409075058E-8</v>
      </c>
      <c r="L223">
        <f t="shared" si="9"/>
        <v>0.69961893453853563</v>
      </c>
      <c r="N223">
        <f t="shared" si="10"/>
        <v>0.62108170942510776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Data_Terisi</vt:lpstr>
      <vt:lpstr>CH4_Clean</vt:lpstr>
      <vt:lpstr>CO_Clean</vt:lpstr>
      <vt:lpstr>NO2_Clean</vt:lpstr>
      <vt:lpstr>SO2_Clean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LAPTOP ASUS</cp:lastModifiedBy>
  <dcterms:created xsi:type="dcterms:W3CDTF">2026-09-04T07:16:16Z</dcterms:created>
  <dcterms:modified xsi:type="dcterms:W3CDTF">2026-09-05T11:55:53Z</dcterms:modified>
</cp:coreProperties>
</file>