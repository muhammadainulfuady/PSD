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EMESTER 5 TIF 2026\PSD\mynewbook\data\excel\"/>
    </mc:Choice>
  </mc:AlternateContent>
  <xr:revisionPtr revIDLastSave="0" documentId="13_ncr:1_{8C59951A-D9BD-4769-8B5E-B6EA651BF21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_Terisi" sheetId="1" r:id="rId1"/>
    <sheet name="CH4_Clean" sheetId="3" r:id="rId2"/>
    <sheet name="CO_Clean" sheetId="4" r:id="rId3"/>
    <sheet name="NO2_Clean" sheetId="5" r:id="rId4"/>
    <sheet name="SO2_Clean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3" l="1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2" i="3"/>
  <c r="E8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E6" i="3"/>
  <c r="E7" i="3" s="1"/>
  <c r="J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E5" i="3"/>
  <c r="E4" i="3"/>
  <c r="G3" i="3"/>
  <c r="G2" i="3"/>
  <c r="E3" i="3"/>
  <c r="E2" i="3"/>
</calcChain>
</file>

<file path=xl/sharedStrings.xml><?xml version="1.0" encoding="utf-8"?>
<sst xmlns="http://schemas.openxmlformats.org/spreadsheetml/2006/main" count="936" uniqueCount="279">
  <si>
    <t>date</t>
  </si>
  <si>
    <t>CH4</t>
  </si>
  <si>
    <t>CO</t>
  </si>
  <si>
    <t>NO2</t>
  </si>
  <si>
    <t>SO2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</si>
  <si>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</si>
  <si>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</si>
  <si>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</si>
  <si>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</si>
  <si>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</si>
  <si>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</si>
  <si>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</si>
  <si>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</si>
  <si>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</si>
  <si>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</si>
  <si>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</si>
  <si>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</si>
  <si>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</si>
  <si>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</si>
  <si>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</si>
  <si>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</si>
  <si>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</si>
  <si>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</si>
  <si>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</si>
  <si>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</si>
  <si>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</si>
  <si>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</si>
  <si>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</si>
  <si>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2025-09-19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</si>
  <si>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</si>
  <si>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</si>
  <si>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</si>
  <si>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</si>
  <si>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</si>
  <si>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</si>
  <si>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</si>
  <si>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</si>
  <si>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</si>
  <si>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</si>
  <si>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</si>
  <si>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</si>
  <si>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</si>
  <si>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</si>
  <si>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</si>
  <si>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</si>
  <si>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</si>
  <si>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</si>
  <si>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</si>
  <si>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</si>
  <si>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</si>
  <si>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</si>
  <si>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2025-10-16</t>
  </si>
  <si>
    <t>2025-10-17</t>
  </si>
  <si>
    <t>2025-10-18</t>
  </si>
  <si>
    <t>2025-10-19</t>
  </si>
  <si>
    <t>2025-10-26</t>
  </si>
  <si>
    <t>2025-10-28</t>
  </si>
  <si>
    <t>2025-11-05</t>
  </si>
  <si>
    <t>2025-11-07</t>
  </si>
  <si>
    <t>2025-11-11</t>
  </si>
  <si>
    <t>2025-11-18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</si>
  <si>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</si>
  <si>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</si>
  <si>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</si>
  <si>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</si>
  <si>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</si>
  <si>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</si>
  <si>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</si>
  <si>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2025-11-29</t>
  </si>
  <si>
    <t>2025-12-01</t>
  </si>
  <si>
    <t>2025-12-02</t>
  </si>
  <si>
    <t>2025-12-03</t>
  </si>
  <si>
    <t>2025-12-05</t>
  </si>
  <si>
    <t>2025-12-07</t>
  </si>
  <si>
    <t>2025-12-08</t>
  </si>
  <si>
    <t>2025-12-10</t>
  </si>
  <si>
    <t>2025-12-11</t>
  </si>
  <si>
    <t>2025-12-12</t>
  </si>
  <si>
    <t>2025-12-13</t>
  </si>
  <si>
    <t>2025-12-15</t>
  </si>
  <si>
    <t>2025-12-17</t>
  </si>
  <si>
    <t>2025-12-21</t>
  </si>
  <si>
    <t>2025-12-22</t>
  </si>
  <si>
    <t>2025-12-23</t>
  </si>
  <si>
    <t>2025-12-24</t>
  </si>
  <si>
    <t>2025-12-25</t>
  </si>
  <si>
    <t>2025-12-28</t>
  </si>
  <si>
    <t>2025-12-29</t>
  </si>
  <si>
    <t>2026-01-03</t>
  </si>
  <si>
    <t>2026-01-04</t>
  </si>
  <si>
    <t>2026-01-06</t>
  </si>
  <si>
    <t>2026-01-08</t>
  </si>
  <si>
    <t>2026-01-14</t>
  </si>
  <si>
    <t>2026-01-19</t>
  </si>
  <si>
    <t>2026-01-20</t>
  </si>
  <si>
    <t>2026-01-21</t>
  </si>
  <si>
    <t>2026-01-24</t>
  </si>
  <si>
    <t>2026-01-29</t>
  </si>
  <si>
    <t>2026-01-31</t>
  </si>
  <si>
    <t>2026-02-02</t>
  </si>
  <si>
    <t>2026-02-03</t>
  </si>
  <si>
    <t>2026-02-04</t>
  </si>
  <si>
    <t>2026-02-06</t>
  </si>
  <si>
    <t>2026-02-14</t>
  </si>
  <si>
    <t>2026-02-15</t>
  </si>
  <si>
    <t>2026-02-16</t>
  </si>
  <si>
    <t>2026-02-17</t>
  </si>
  <si>
    <t>2026-02-27</t>
  </si>
  <si>
    <t>2026-02-28</t>
  </si>
  <si>
    <t>2026-03-03</t>
  </si>
  <si>
    <t>2026-03-04</t>
  </si>
  <si>
    <t>2026-03-05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</si>
  <si>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</si>
  <si>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</si>
  <si>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</si>
  <si>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</si>
  <si>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</si>
  <si>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</si>
  <si>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</si>
  <si>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</si>
  <si>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</si>
  <si>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</si>
  <si>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</si>
  <si>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</si>
  <si>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</si>
  <si>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2026-03-23</t>
  </si>
  <si>
    <t>2026-03-24</t>
  </si>
  <si>
    <t>2026-03-26</t>
  </si>
  <si>
    <t>2026-03-27</t>
  </si>
  <si>
    <t>2026-03-29</t>
  </si>
  <si>
    <t>2026-04-01</t>
  </si>
  <si>
    <t>2026-04-02</t>
  </si>
  <si>
    <t>2026-04-03</t>
  </si>
  <si>
    <t>2026-04-05</t>
  </si>
  <si>
    <t>2026-04-06</t>
  </si>
  <si>
    <t>2026-04-07</t>
  </si>
  <si>
    <t>2026-04-08</t>
  </si>
  <si>
    <t>2026-04-09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</si>
  <si>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</si>
  <si>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</si>
  <si>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</si>
  <si>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</si>
  <si>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</si>
  <si>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</si>
  <si>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</si>
  <si>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</si>
  <si>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</si>
  <si>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</si>
  <si>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</si>
  <si>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2026-04-23</t>
  </si>
  <si>
    <t>2026-04-25</t>
  </si>
  <si>
    <t>2026-04-26</t>
  </si>
  <si>
    <t>2026-05-01</t>
  </si>
  <si>
    <t>2026-05-03</t>
  </si>
  <si>
    <t>2026-05-04</t>
  </si>
  <si>
    <t>2026-05-05</t>
  </si>
  <si>
    <t>2026-05-06</t>
  </si>
  <si>
    <t>2026-05-07</t>
  </si>
  <si>
    <t>2026-05-08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</si>
  <si>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</si>
  <si>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</si>
  <si>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</si>
  <si>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</si>
  <si>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</si>
  <si>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</si>
  <si>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</si>
  <si>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</si>
  <si>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</si>
  <si>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</si>
  <si>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</si>
  <si>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</si>
  <si>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</si>
  <si>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</si>
  <si>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</si>
  <si>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</si>
  <si>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</si>
  <si>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</si>
  <si>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</si>
  <si>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</si>
  <si>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</si>
  <si>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</si>
  <si>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</si>
  <si>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</si>
  <si>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</si>
  <si>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</si>
  <si>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</si>
  <si>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</si>
  <si>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</si>
  <si>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</si>
  <si>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</si>
  <si>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</si>
  <si>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</si>
  <si>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</si>
  <si>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</si>
  <si>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</si>
  <si>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</si>
  <si>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</si>
  <si>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</si>
  <si>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</si>
  <si>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</si>
  <si>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</si>
  <si>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</si>
  <si>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</si>
  <si>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</si>
  <si>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</si>
  <si>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</si>
  <si>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</si>
  <si>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</si>
  <si>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</si>
  <si>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</si>
  <si>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</si>
  <si>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</si>
  <si>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</si>
  <si>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</si>
  <si>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</si>
  <si>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</si>
  <si>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</si>
  <si>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</si>
  <si>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</si>
  <si>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</si>
  <si>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</si>
  <si>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</si>
  <si>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</si>
  <si>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</si>
  <si>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</si>
  <si>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</si>
  <si>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</si>
  <si>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</si>
  <si>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</si>
  <si>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</si>
  <si>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</si>
  <si>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</si>
  <si>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</si>
  <si>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</si>
  <si>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</si>
  <si>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</si>
  <si>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</si>
  <si>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</si>
  <si>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</si>
  <si>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</si>
  <si>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</si>
  <si>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</si>
  <si>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</si>
  <si>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</si>
  <si>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</si>
  <si>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</si>
  <si>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</si>
  <si>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</si>
  <si>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</si>
  <si>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</si>
  <si>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</si>
  <si>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</si>
  <si>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</si>
  <si>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</si>
  <si>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</si>
  <si>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</si>
  <si>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</si>
  <si>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</si>
  <si>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</si>
  <si>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</si>
  <si>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</si>
  <si>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</si>
  <si>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</si>
  <si>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min</t>
  </si>
  <si>
    <t>max</t>
  </si>
  <si>
    <t>mean</t>
  </si>
  <si>
    <t>jumlah baris data</t>
  </si>
  <si>
    <t>jumlah total data</t>
  </si>
  <si>
    <t>median</t>
  </si>
  <si>
    <t>variansi</t>
  </si>
  <si>
    <t>std deviasi</t>
  </si>
  <si>
    <t>pangkat 2 selisih</t>
  </si>
  <si>
    <t>jumlah pangkat 2 selisih</t>
  </si>
  <si>
    <t>pangkat 3 selisih</t>
  </si>
  <si>
    <t>jumlah pangkat 3 selisih</t>
  </si>
  <si>
    <t>kemiringan skewnes</t>
  </si>
  <si>
    <t>keruncingan kurtosis</t>
  </si>
  <si>
    <t>pangkat 4 selisih</t>
  </si>
  <si>
    <t>jumlah pangkat 4 selisih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</si>
</sst>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0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9"/>
  <sheetViews>
    <sheetView workbookViewId="0">
      <selection activeCell="H9" sqref="H9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C2">
        <v>3.7918452173471402E-2</v>
      </c>
      <c r="D2">
        <v>9.6467032562941326E-5</v>
      </c>
      <c r="E2">
        <v>3.4663605038069998E-4</v>
      </c>
    </row>
    <row r="3" spans="1:5" x14ac:dyDescent="0.35">
      <c r="A3" t="s">
        <v>6</v>
      </c>
      <c r="B3">
        <v>1867.289428710937</v>
      </c>
      <c r="C3">
        <v>2.8239663690328501E-2</v>
      </c>
      <c r="D3">
        <v>4.6442881284747273E-5</v>
      </c>
      <c r="E3">
        <v>8.1744452472769995E-4</v>
      </c>
    </row>
    <row r="4" spans="1:5" x14ac:dyDescent="0.35">
      <c r="A4" t="s">
        <v>7</v>
      </c>
      <c r="D4">
        <v>6.822789873695001E-5</v>
      </c>
      <c r="E4">
        <v>-7.9877756070340002E-4</v>
      </c>
    </row>
    <row r="5" spans="1:5" x14ac:dyDescent="0.35">
      <c r="A5" t="s">
        <v>8</v>
      </c>
      <c r="C5">
        <v>3.4187458455562501E-2</v>
      </c>
      <c r="E5">
        <v>-5.1346997497600001E-4</v>
      </c>
    </row>
    <row r="6" spans="1:5" x14ac:dyDescent="0.35">
      <c r="A6" t="s">
        <v>9</v>
      </c>
      <c r="C6">
        <v>2.7449695393443101E-2</v>
      </c>
      <c r="D6">
        <v>6.0107740864623338E-5</v>
      </c>
      <c r="E6">
        <v>3.2733147963880002E-4</v>
      </c>
    </row>
    <row r="7" spans="1:5" x14ac:dyDescent="0.35">
      <c r="A7" t="s">
        <v>10</v>
      </c>
      <c r="C7">
        <v>2.38408725708723E-2</v>
      </c>
      <c r="D7">
        <v>8.1563171988818794E-5</v>
      </c>
      <c r="E7">
        <v>-5.0312548410147429E-5</v>
      </c>
    </row>
    <row r="8" spans="1:5" x14ac:dyDescent="0.35">
      <c r="A8" t="s">
        <v>11</v>
      </c>
      <c r="C8">
        <v>2.6330703869461999E-2</v>
      </c>
      <c r="D8">
        <v>3.2386014936491847E-5</v>
      </c>
      <c r="E8">
        <v>4.1422471986149998E-4</v>
      </c>
    </row>
    <row r="9" spans="1:5" x14ac:dyDescent="0.35">
      <c r="A9" t="s">
        <v>12</v>
      </c>
      <c r="C9">
        <v>2.7549641206860501E-2</v>
      </c>
      <c r="D9">
        <v>2.2077210815041329E-5</v>
      </c>
      <c r="E9">
        <v>-5.3441361524160004E-4</v>
      </c>
    </row>
    <row r="10" spans="1:5" x14ac:dyDescent="0.35">
      <c r="A10" t="s">
        <v>13</v>
      </c>
      <c r="C10">
        <v>2.3487672209739598E-2</v>
      </c>
      <c r="D10">
        <v>4.5435735955834389E-5</v>
      </c>
      <c r="E10">
        <v>5.8351481129648157E-5</v>
      </c>
    </row>
    <row r="11" spans="1:5" x14ac:dyDescent="0.35">
      <c r="A11" t="s">
        <v>14</v>
      </c>
      <c r="C11">
        <v>2.5976773351430799E-2</v>
      </c>
      <c r="D11">
        <v>2.148273415514268E-5</v>
      </c>
      <c r="E11">
        <v>3.6491683567869997E-4</v>
      </c>
    </row>
    <row r="12" spans="1:5" x14ac:dyDescent="0.35">
      <c r="A12" t="s">
        <v>15</v>
      </c>
      <c r="C12">
        <v>2.3833392187952902E-2</v>
      </c>
      <c r="D12">
        <v>7.869069668231532E-5</v>
      </c>
      <c r="E12">
        <v>1.653434264881071E-5</v>
      </c>
    </row>
    <row r="13" spans="1:5" x14ac:dyDescent="0.35">
      <c r="A13" t="s">
        <v>16</v>
      </c>
      <c r="C13">
        <v>2.9989233240485101E-2</v>
      </c>
      <c r="D13">
        <v>6.0423932154662907E-5</v>
      </c>
      <c r="E13">
        <v>6.489308434538E-4</v>
      </c>
    </row>
    <row r="14" spans="1:5" x14ac:dyDescent="0.35">
      <c r="A14" t="s">
        <v>17</v>
      </c>
      <c r="D14">
        <v>3.9507351175416261E-5</v>
      </c>
      <c r="E14">
        <v>6.9190275098662823E-5</v>
      </c>
    </row>
    <row r="15" spans="1:5" x14ac:dyDescent="0.35">
      <c r="A15" t="s">
        <v>18</v>
      </c>
      <c r="C15">
        <v>2.92877703905105E-2</v>
      </c>
      <c r="E15">
        <v>-3.4007747308349999E-4</v>
      </c>
    </row>
    <row r="16" spans="1:5" x14ac:dyDescent="0.35">
      <c r="A16" t="s">
        <v>19</v>
      </c>
      <c r="D16">
        <v>4.8660705942893401E-5</v>
      </c>
      <c r="E16">
        <v>-3.102854534517E-4</v>
      </c>
    </row>
    <row r="17" spans="1:5" x14ac:dyDescent="0.35">
      <c r="A17" t="s">
        <v>20</v>
      </c>
      <c r="C17">
        <v>2.6994796469807601E-2</v>
      </c>
      <c r="E17">
        <v>1.307001075474E-4</v>
      </c>
    </row>
    <row r="18" spans="1:5" x14ac:dyDescent="0.35">
      <c r="A18" t="s">
        <v>21</v>
      </c>
      <c r="C18">
        <v>1.76567398011684E-2</v>
      </c>
      <c r="D18">
        <v>6.452338129747659E-5</v>
      </c>
      <c r="E18">
        <v>-1.081802838598E-4</v>
      </c>
    </row>
    <row r="19" spans="1:5" x14ac:dyDescent="0.35">
      <c r="A19" t="s">
        <v>22</v>
      </c>
      <c r="D19">
        <v>3.931847822968848E-5</v>
      </c>
      <c r="E19">
        <v>-1.0858937166631001E-3</v>
      </c>
    </row>
    <row r="20" spans="1:5" x14ac:dyDescent="0.35">
      <c r="A20" t="s">
        <v>23</v>
      </c>
      <c r="D20">
        <v>3.7898553273407742E-5</v>
      </c>
      <c r="E20">
        <v>2.1183126955289999E-4</v>
      </c>
    </row>
    <row r="21" spans="1:5" x14ac:dyDescent="0.35">
      <c r="A21" t="s">
        <v>24</v>
      </c>
      <c r="B21">
        <v>1854.823608398437</v>
      </c>
      <c r="C21">
        <v>2.90243215858936E-2</v>
      </c>
      <c r="D21">
        <v>5.685467112925835E-5</v>
      </c>
      <c r="E21">
        <v>-5.3932697483105592E-5</v>
      </c>
    </row>
    <row r="22" spans="1:5" x14ac:dyDescent="0.35">
      <c r="A22" t="s">
        <v>25</v>
      </c>
      <c r="C22">
        <v>2.3230222985148399E-2</v>
      </c>
      <c r="D22">
        <v>4.7684367018518969E-5</v>
      </c>
      <c r="E22">
        <v>-1.2662821973200001E-4</v>
      </c>
    </row>
    <row r="23" spans="1:5" x14ac:dyDescent="0.35">
      <c r="A23" t="s">
        <v>26</v>
      </c>
      <c r="C23">
        <v>2.8325650840997599E-2</v>
      </c>
      <c r="D23">
        <v>6.7848144681192935E-5</v>
      </c>
      <c r="E23">
        <v>-4.7590342546754982E-6</v>
      </c>
    </row>
    <row r="24" spans="1:5" x14ac:dyDescent="0.35">
      <c r="A24" t="s">
        <v>27</v>
      </c>
      <c r="C24">
        <v>3.00608240067958E-2</v>
      </c>
      <c r="D24">
        <v>8.3990715211257339E-5</v>
      </c>
      <c r="E24">
        <v>-4.4446467654770002E-4</v>
      </c>
    </row>
    <row r="25" spans="1:5" x14ac:dyDescent="0.35">
      <c r="A25" t="s">
        <v>28</v>
      </c>
      <c r="E25">
        <v>-2.696680894587189E-5</v>
      </c>
    </row>
    <row r="26" spans="1:5" x14ac:dyDescent="0.35">
      <c r="A26" t="s">
        <v>29</v>
      </c>
      <c r="C26">
        <v>2.6376156136393498E-2</v>
      </c>
      <c r="D26">
        <v>6.7211811256129295E-5</v>
      </c>
      <c r="E26">
        <v>1.6217536176549999E-4</v>
      </c>
    </row>
    <row r="27" spans="1:5" x14ac:dyDescent="0.35">
      <c r="A27" t="s">
        <v>30</v>
      </c>
      <c r="C27">
        <v>2.85316295921802E-2</v>
      </c>
      <c r="D27">
        <v>3.6771387385670102E-5</v>
      </c>
      <c r="E27">
        <v>3.4684874117370002E-4</v>
      </c>
    </row>
    <row r="28" spans="1:5" x14ac:dyDescent="0.35">
      <c r="A28" t="s">
        <v>31</v>
      </c>
      <c r="C28">
        <v>3.5185709595680202E-2</v>
      </c>
      <c r="D28">
        <v>4.1204676381310001E-4</v>
      </c>
      <c r="E28">
        <v>5.5477581918229998E-4</v>
      </c>
    </row>
    <row r="29" spans="1:5" x14ac:dyDescent="0.35">
      <c r="A29" t="s">
        <v>32</v>
      </c>
      <c r="C29">
        <v>4.6535134315490702E-2</v>
      </c>
      <c r="D29">
        <v>6.3134444644669997E-4</v>
      </c>
      <c r="E29">
        <v>3.5423366352910001E-4</v>
      </c>
    </row>
    <row r="30" spans="1:5" x14ac:dyDescent="0.35">
      <c r="A30" t="s">
        <v>33</v>
      </c>
      <c r="C30">
        <v>2.5547420606017099E-2</v>
      </c>
      <c r="D30">
        <v>6.4872438088059425E-5</v>
      </c>
      <c r="E30">
        <v>3.8516704807980002E-4</v>
      </c>
    </row>
    <row r="31" spans="1:5" x14ac:dyDescent="0.35">
      <c r="A31" t="s">
        <v>34</v>
      </c>
      <c r="C31">
        <v>2.7639213949441899E-2</v>
      </c>
      <c r="D31">
        <v>4.752714085043408E-5</v>
      </c>
      <c r="E31">
        <v>5.6236607633763917E-5</v>
      </c>
    </row>
    <row r="32" spans="1:5" x14ac:dyDescent="0.35">
      <c r="A32" t="s">
        <v>35</v>
      </c>
      <c r="C32">
        <v>3.6658812314271899E-2</v>
      </c>
      <c r="D32">
        <v>3.3779542718548328E-5</v>
      </c>
      <c r="E32">
        <v>5.9643335407589995E-4</v>
      </c>
    </row>
    <row r="33" spans="1:5" x14ac:dyDescent="0.35">
      <c r="A33" t="s">
        <v>36</v>
      </c>
      <c r="C33">
        <v>3.0118923634290602E-2</v>
      </c>
      <c r="D33">
        <v>4.1814655560301617E-5</v>
      </c>
      <c r="E33">
        <v>-1.50391770148417E-6</v>
      </c>
    </row>
    <row r="34" spans="1:5" x14ac:dyDescent="0.35">
      <c r="A34" t="s">
        <v>37</v>
      </c>
      <c r="C34">
        <v>2.8268573805689801E-2</v>
      </c>
      <c r="D34">
        <v>6.9459187216125429E-5</v>
      </c>
      <c r="E34">
        <v>2.0833239250350001E-4</v>
      </c>
    </row>
    <row r="35" spans="1:5" x14ac:dyDescent="0.35">
      <c r="A35" t="s">
        <v>38</v>
      </c>
      <c r="C35">
        <v>3.0907221138477301E-2</v>
      </c>
      <c r="D35">
        <v>1.136809732997E-4</v>
      </c>
      <c r="E35">
        <v>-3.3325757249250002E-4</v>
      </c>
    </row>
    <row r="36" spans="1:5" x14ac:dyDescent="0.35">
      <c r="A36" t="s">
        <v>39</v>
      </c>
      <c r="C36">
        <v>3.3205050975084298E-2</v>
      </c>
      <c r="D36">
        <v>7.4463408964220434E-5</v>
      </c>
      <c r="E36">
        <v>7.2506409196648747E-5</v>
      </c>
    </row>
    <row r="37" spans="1:5" x14ac:dyDescent="0.35">
      <c r="A37" t="s">
        <v>40</v>
      </c>
      <c r="C37">
        <v>3.2707087695598602E-2</v>
      </c>
      <c r="D37">
        <v>3.1327723263530061E-5</v>
      </c>
      <c r="E37">
        <v>-1.337838421022752E-5</v>
      </c>
    </row>
    <row r="38" spans="1:5" x14ac:dyDescent="0.35">
      <c r="A38" t="s">
        <v>41</v>
      </c>
      <c r="C38">
        <v>3.2199986279010703E-2</v>
      </c>
      <c r="D38">
        <v>5.518067700904794E-5</v>
      </c>
      <c r="E38">
        <v>1.200983533635E-4</v>
      </c>
    </row>
    <row r="39" spans="1:5" x14ac:dyDescent="0.35">
      <c r="A39" t="s">
        <v>42</v>
      </c>
      <c r="C39">
        <v>3.4365653991699198E-2</v>
      </c>
      <c r="D39">
        <v>8.7079824879765511E-5</v>
      </c>
      <c r="E39">
        <v>-3.5880853829439729E-5</v>
      </c>
    </row>
    <row r="40" spans="1:5" x14ac:dyDescent="0.35">
      <c r="A40" t="s">
        <v>43</v>
      </c>
      <c r="C40">
        <v>4.1779834777116699E-2</v>
      </c>
      <c r="D40">
        <v>1.493558374932E-4</v>
      </c>
      <c r="E40">
        <v>-1.004253645078E-4</v>
      </c>
    </row>
    <row r="41" spans="1:5" x14ac:dyDescent="0.35">
      <c r="A41" t="s">
        <v>44</v>
      </c>
      <c r="C41">
        <v>3.6530666053295101E-2</v>
      </c>
    </row>
    <row r="42" spans="1:5" x14ac:dyDescent="0.35">
      <c r="A42" t="s">
        <v>45</v>
      </c>
      <c r="C42">
        <v>4.0541946887969901E-2</v>
      </c>
      <c r="D42">
        <v>1.4810053107789999E-4</v>
      </c>
      <c r="E42">
        <v>-2.1769013255829999E-4</v>
      </c>
    </row>
    <row r="43" spans="1:5" x14ac:dyDescent="0.35">
      <c r="A43" t="s">
        <v>46</v>
      </c>
      <c r="B43">
        <v>1905.000610351562</v>
      </c>
      <c r="C43">
        <v>3.7074372172355603E-2</v>
      </c>
      <c r="D43">
        <v>1.083911120076E-4</v>
      </c>
      <c r="E43">
        <v>1.435211452189E-4</v>
      </c>
    </row>
    <row r="44" spans="1:5" x14ac:dyDescent="0.35">
      <c r="A44" t="s">
        <v>47</v>
      </c>
      <c r="C44">
        <v>3.2592270523309701E-2</v>
      </c>
      <c r="E44">
        <v>2.6097762747659999E-4</v>
      </c>
    </row>
    <row r="45" spans="1:5" x14ac:dyDescent="0.35">
      <c r="A45" t="s">
        <v>48</v>
      </c>
      <c r="C45">
        <v>2.8115686029195699E-2</v>
      </c>
    </row>
    <row r="46" spans="1:5" x14ac:dyDescent="0.35">
      <c r="A46" t="s">
        <v>49</v>
      </c>
      <c r="D46">
        <v>-1.0082445669468141E-6</v>
      </c>
    </row>
    <row r="47" spans="1:5" x14ac:dyDescent="0.35">
      <c r="A47" t="s">
        <v>50</v>
      </c>
      <c r="C47">
        <v>2.9535211622714899E-2</v>
      </c>
      <c r="D47">
        <v>7.6013478974346071E-5</v>
      </c>
      <c r="E47">
        <v>-5.6005774240475148E-5</v>
      </c>
    </row>
    <row r="48" spans="1:5" x14ac:dyDescent="0.35">
      <c r="A48" t="s">
        <v>51</v>
      </c>
      <c r="C48">
        <v>2.9461666941642699E-2</v>
      </c>
      <c r="D48">
        <v>4.2828316509258002E-5</v>
      </c>
      <c r="E48">
        <v>-1.3175921048959999E-4</v>
      </c>
    </row>
    <row r="49" spans="1:5" x14ac:dyDescent="0.35">
      <c r="A49" t="s">
        <v>52</v>
      </c>
      <c r="C49">
        <v>2.9573839157819699E-2</v>
      </c>
      <c r="D49">
        <v>2.0721830878756009E-5</v>
      </c>
      <c r="E49">
        <v>-2.7106700144940991E-5</v>
      </c>
    </row>
    <row r="50" spans="1:5" x14ac:dyDescent="0.35">
      <c r="A50" t="s">
        <v>53</v>
      </c>
      <c r="E50">
        <v>-1.0168313747269999E-4</v>
      </c>
    </row>
    <row r="51" spans="1:5" x14ac:dyDescent="0.35">
      <c r="A51" t="s">
        <v>54</v>
      </c>
      <c r="C51">
        <v>3.3227942883968298E-2</v>
      </c>
      <c r="D51">
        <v>7.5826188549399376E-5</v>
      </c>
      <c r="E51">
        <v>-2.357863559154E-4</v>
      </c>
    </row>
    <row r="52" spans="1:5" x14ac:dyDescent="0.35">
      <c r="A52" t="s">
        <v>55</v>
      </c>
      <c r="C52">
        <v>3.2150190323591198E-2</v>
      </c>
      <c r="D52">
        <v>2.9642175650220002E-4</v>
      </c>
      <c r="E52">
        <v>-5.2686023991554982E-5</v>
      </c>
    </row>
    <row r="53" spans="1:5" x14ac:dyDescent="0.35">
      <c r="A53" t="s">
        <v>56</v>
      </c>
      <c r="E53">
        <v>2.7564581250769999E-4</v>
      </c>
    </row>
    <row r="54" spans="1:5" x14ac:dyDescent="0.35">
      <c r="A54" t="s">
        <v>57</v>
      </c>
      <c r="C54">
        <v>2.82913763076066E-2</v>
      </c>
    </row>
    <row r="55" spans="1:5" x14ac:dyDescent="0.35">
      <c r="A55" t="s">
        <v>58</v>
      </c>
      <c r="C55">
        <v>2.7853839099407099E-2</v>
      </c>
      <c r="D55">
        <v>7.8264849435072392E-5</v>
      </c>
      <c r="E55">
        <v>3.2542389817530001E-4</v>
      </c>
    </row>
    <row r="56" spans="1:5" x14ac:dyDescent="0.35">
      <c r="A56" t="s">
        <v>59</v>
      </c>
      <c r="C56">
        <v>2.7327526360750198E-2</v>
      </c>
    </row>
    <row r="57" spans="1:5" x14ac:dyDescent="0.35">
      <c r="A57" t="s">
        <v>60</v>
      </c>
      <c r="E57">
        <v>3.9963252493179998E-4</v>
      </c>
    </row>
    <row r="58" spans="1:5" x14ac:dyDescent="0.35">
      <c r="A58" t="s">
        <v>61</v>
      </c>
      <c r="D58">
        <v>7.3698814958333969E-5</v>
      </c>
      <c r="E58">
        <v>-1.6100196808110001E-4</v>
      </c>
    </row>
    <row r="59" spans="1:5" x14ac:dyDescent="0.35">
      <c r="A59" t="s">
        <v>62</v>
      </c>
      <c r="C59">
        <v>2.8331035748124098E-2</v>
      </c>
    </row>
    <row r="60" spans="1:5" x14ac:dyDescent="0.35">
      <c r="A60" t="s">
        <v>63</v>
      </c>
      <c r="C60">
        <v>3.1462945044040597E-2</v>
      </c>
      <c r="D60">
        <v>6.9870809966232628E-5</v>
      </c>
      <c r="E60">
        <v>1.064677780959E-4</v>
      </c>
    </row>
    <row r="61" spans="1:5" x14ac:dyDescent="0.35">
      <c r="A61" t="s">
        <v>64</v>
      </c>
      <c r="C61">
        <v>2.2789210081100401E-2</v>
      </c>
      <c r="E61">
        <v>1.761684688972E-4</v>
      </c>
    </row>
    <row r="62" spans="1:5" x14ac:dyDescent="0.35">
      <c r="A62" t="s">
        <v>65</v>
      </c>
      <c r="E62">
        <v>3.498008300084E-4</v>
      </c>
    </row>
    <row r="63" spans="1:5" x14ac:dyDescent="0.35">
      <c r="A63" t="s">
        <v>66</v>
      </c>
      <c r="C63">
        <v>2.9944935813546101E-2</v>
      </c>
      <c r="D63">
        <v>4.8074776714202023E-5</v>
      </c>
      <c r="E63">
        <v>-6.630927964579314E-5</v>
      </c>
    </row>
    <row r="64" spans="1:5" x14ac:dyDescent="0.35">
      <c r="A64" t="s">
        <v>67</v>
      </c>
      <c r="E64">
        <v>1.1714812717400001E-4</v>
      </c>
    </row>
    <row r="65" spans="1:5" x14ac:dyDescent="0.35">
      <c r="A65" t="s">
        <v>68</v>
      </c>
      <c r="C65">
        <v>3.1706504523754099E-2</v>
      </c>
      <c r="E65">
        <v>1.089670113287E-4</v>
      </c>
    </row>
    <row r="66" spans="1:5" x14ac:dyDescent="0.35">
      <c r="A66" t="s">
        <v>69</v>
      </c>
      <c r="C66">
        <v>3.4083530306816101E-2</v>
      </c>
    </row>
    <row r="67" spans="1:5" x14ac:dyDescent="0.35">
      <c r="A67" t="s">
        <v>70</v>
      </c>
      <c r="C67">
        <v>2.7025423943996402E-2</v>
      </c>
    </row>
    <row r="68" spans="1:5" x14ac:dyDescent="0.35">
      <c r="A68" t="s">
        <v>71</v>
      </c>
      <c r="C68">
        <v>2.56563927978277E-2</v>
      </c>
      <c r="D68">
        <v>8.0742895079310983E-5</v>
      </c>
      <c r="E68">
        <v>2.9863067902619999E-4</v>
      </c>
    </row>
    <row r="69" spans="1:5" x14ac:dyDescent="0.35">
      <c r="A69" t="s">
        <v>72</v>
      </c>
      <c r="D69">
        <v>9.2204412794671966E-5</v>
      </c>
      <c r="E69">
        <v>-4.2239064350719997E-4</v>
      </c>
    </row>
    <row r="70" spans="1:5" x14ac:dyDescent="0.35">
      <c r="A70" t="s">
        <v>73</v>
      </c>
      <c r="C70">
        <v>3.2690223306417403E-2</v>
      </c>
    </row>
    <row r="71" spans="1:5" x14ac:dyDescent="0.35">
      <c r="A71" t="s">
        <v>74</v>
      </c>
      <c r="C71">
        <v>2.95860189944505E-2</v>
      </c>
    </row>
    <row r="72" spans="1:5" x14ac:dyDescent="0.35">
      <c r="A72" t="s">
        <v>75</v>
      </c>
      <c r="C72">
        <v>3.3180888742208398E-2</v>
      </c>
      <c r="E72">
        <v>-1.720845029922E-4</v>
      </c>
    </row>
    <row r="73" spans="1:5" x14ac:dyDescent="0.35">
      <c r="A73" t="s">
        <v>76</v>
      </c>
      <c r="D73">
        <v>4.5491025957744569E-5</v>
      </c>
      <c r="E73">
        <v>3.694123297464E-4</v>
      </c>
    </row>
    <row r="74" spans="1:5" x14ac:dyDescent="0.35">
      <c r="A74" t="s">
        <v>77</v>
      </c>
      <c r="C74">
        <v>3.3088881522416999E-2</v>
      </c>
      <c r="D74">
        <v>4.8925983719527721E-5</v>
      </c>
      <c r="E74">
        <v>1.5419397095679999E-4</v>
      </c>
    </row>
    <row r="75" spans="1:5" x14ac:dyDescent="0.35">
      <c r="A75" t="s">
        <v>78</v>
      </c>
      <c r="C75">
        <v>3.05946189910173E-2</v>
      </c>
    </row>
    <row r="76" spans="1:5" x14ac:dyDescent="0.35">
      <c r="A76" t="s">
        <v>79</v>
      </c>
      <c r="C76">
        <v>2.7581177651882099E-2</v>
      </c>
      <c r="D76">
        <v>6.3498846429865807E-5</v>
      </c>
      <c r="E76">
        <v>3.2197451218960002E-4</v>
      </c>
    </row>
    <row r="77" spans="1:5" x14ac:dyDescent="0.35">
      <c r="A77" t="s">
        <v>80</v>
      </c>
      <c r="C77">
        <v>2.83499155193567E-2</v>
      </c>
      <c r="D77">
        <v>4.2040664993692189E-5</v>
      </c>
      <c r="E77">
        <v>-5.6716813560342423E-5</v>
      </c>
    </row>
    <row r="78" spans="1:5" x14ac:dyDescent="0.35">
      <c r="A78" t="s">
        <v>81</v>
      </c>
      <c r="C78">
        <v>2.3295409977436E-2</v>
      </c>
    </row>
    <row r="79" spans="1:5" x14ac:dyDescent="0.35">
      <c r="A79" t="s">
        <v>82</v>
      </c>
      <c r="D79">
        <v>3.8485522964037962E-5</v>
      </c>
      <c r="E79">
        <v>6.5792228269856423E-5</v>
      </c>
    </row>
    <row r="80" spans="1:5" x14ac:dyDescent="0.35">
      <c r="A80" t="s">
        <v>83</v>
      </c>
      <c r="C80">
        <v>3.03539559245109E-2</v>
      </c>
    </row>
    <row r="81" spans="1:5" x14ac:dyDescent="0.35">
      <c r="A81" t="s">
        <v>84</v>
      </c>
      <c r="D81">
        <v>3.3913082006620243E-5</v>
      </c>
      <c r="E81">
        <v>3.8384972140189999E-4</v>
      </c>
    </row>
    <row r="82" spans="1:5" x14ac:dyDescent="0.35">
      <c r="A82" t="s">
        <v>85</v>
      </c>
      <c r="C82">
        <v>3.0211500823497699E-2</v>
      </c>
      <c r="E82">
        <v>5.020344397053E-4</v>
      </c>
    </row>
    <row r="83" spans="1:5" x14ac:dyDescent="0.35">
      <c r="A83" t="s">
        <v>86</v>
      </c>
      <c r="E83">
        <v>5.9626542497420005E-4</v>
      </c>
    </row>
    <row r="84" spans="1:5" x14ac:dyDescent="0.35">
      <c r="A84" t="s">
        <v>87</v>
      </c>
      <c r="C84">
        <v>2.6647994294762601E-2</v>
      </c>
      <c r="D84">
        <v>1.82445772225E-4</v>
      </c>
      <c r="E84">
        <v>6.8904651561749999E-4</v>
      </c>
    </row>
    <row r="85" spans="1:5" x14ac:dyDescent="0.35">
      <c r="A85" t="s">
        <v>88</v>
      </c>
      <c r="C85">
        <v>2.71243844181299E-2</v>
      </c>
    </row>
    <row r="86" spans="1:5" x14ac:dyDescent="0.35">
      <c r="A86" t="s">
        <v>89</v>
      </c>
      <c r="E86">
        <v>1.917484041769E-4</v>
      </c>
    </row>
    <row r="87" spans="1:5" x14ac:dyDescent="0.35">
      <c r="A87" t="s">
        <v>90</v>
      </c>
      <c r="E87">
        <v>-5.4601085139429999E-4</v>
      </c>
    </row>
    <row r="88" spans="1:5" x14ac:dyDescent="0.35">
      <c r="A88" t="s">
        <v>91</v>
      </c>
      <c r="C88">
        <v>3.0165521427988999E-2</v>
      </c>
      <c r="D88">
        <v>7.1195361670106649E-5</v>
      </c>
      <c r="E88">
        <v>4.1244554449800002E-4</v>
      </c>
    </row>
    <row r="89" spans="1:5" x14ac:dyDescent="0.35">
      <c r="A89" t="s">
        <v>92</v>
      </c>
      <c r="C89">
        <v>2.4658987298607798E-2</v>
      </c>
    </row>
    <row r="90" spans="1:5" x14ac:dyDescent="0.35">
      <c r="A90" t="s">
        <v>93</v>
      </c>
      <c r="C90">
        <v>2.86986827850341E-2</v>
      </c>
      <c r="D90">
        <v>5.6531542213633663E-5</v>
      </c>
      <c r="E90">
        <v>5.3135314374230802E-5</v>
      </c>
    </row>
    <row r="91" spans="1:5" x14ac:dyDescent="0.35">
      <c r="A91" t="s">
        <v>94</v>
      </c>
      <c r="C91">
        <v>2.4566881358623501E-2</v>
      </c>
    </row>
    <row r="92" spans="1:5" x14ac:dyDescent="0.35">
      <c r="A92" t="s">
        <v>95</v>
      </c>
      <c r="C92">
        <v>2.65142004936933E-2</v>
      </c>
    </row>
    <row r="93" spans="1:5" x14ac:dyDescent="0.35">
      <c r="A93" t="s">
        <v>96</v>
      </c>
      <c r="C93">
        <v>2.84068156033754E-2</v>
      </c>
      <c r="D93">
        <v>2.016932739934418E-5</v>
      </c>
      <c r="E93">
        <v>3.5663865855890001E-4</v>
      </c>
    </row>
    <row r="94" spans="1:5" x14ac:dyDescent="0.35">
      <c r="A94" t="s">
        <v>97</v>
      </c>
      <c r="C94">
        <v>2.9979247599840102E-2</v>
      </c>
      <c r="D94">
        <v>3.5052678867941722E-5</v>
      </c>
      <c r="E94">
        <v>-1.1341793288009999E-4</v>
      </c>
    </row>
    <row r="95" spans="1:5" x14ac:dyDescent="0.35">
      <c r="A95" t="s">
        <v>98</v>
      </c>
      <c r="C95">
        <v>2.9071729630231798E-2</v>
      </c>
    </row>
    <row r="96" spans="1:5" x14ac:dyDescent="0.35">
      <c r="A96" t="s">
        <v>99</v>
      </c>
      <c r="C96">
        <v>3.32155339419841E-2</v>
      </c>
      <c r="D96">
        <v>5.8151676057605073E-5</v>
      </c>
      <c r="E96">
        <v>1.017593895085E-4</v>
      </c>
    </row>
    <row r="97" spans="1:5" x14ac:dyDescent="0.35">
      <c r="A97" t="s">
        <v>100</v>
      </c>
      <c r="C97">
        <v>2.95811910182237E-2</v>
      </c>
      <c r="D97">
        <v>3.5968663723906502E-5</v>
      </c>
      <c r="E97">
        <v>2.559984859544E-4</v>
      </c>
    </row>
    <row r="98" spans="1:5" x14ac:dyDescent="0.35">
      <c r="A98" t="s">
        <v>101</v>
      </c>
      <c r="C98">
        <v>3.0511906370520502E-2</v>
      </c>
    </row>
    <row r="99" spans="1:5" x14ac:dyDescent="0.35">
      <c r="A99" t="s">
        <v>102</v>
      </c>
      <c r="C99">
        <v>3.11947837471961E-2</v>
      </c>
      <c r="E99">
        <v>1.7734815628500659E-5</v>
      </c>
    </row>
    <row r="100" spans="1:5" x14ac:dyDescent="0.35">
      <c r="A100" t="s">
        <v>103</v>
      </c>
      <c r="C100">
        <v>2.6988964527845299E-2</v>
      </c>
    </row>
    <row r="101" spans="1:5" x14ac:dyDescent="0.35">
      <c r="A101" t="s">
        <v>104</v>
      </c>
      <c r="C101">
        <v>3.2149121165275497E-2</v>
      </c>
      <c r="D101">
        <v>6.7564695200417191E-5</v>
      </c>
      <c r="E101">
        <v>2.5417108554390001E-4</v>
      </c>
    </row>
    <row r="102" spans="1:5" x14ac:dyDescent="0.35">
      <c r="A102" t="s">
        <v>105</v>
      </c>
      <c r="E102">
        <v>-3.0572444666169998E-4</v>
      </c>
    </row>
    <row r="103" spans="1:5" x14ac:dyDescent="0.35">
      <c r="A103" t="s">
        <v>106</v>
      </c>
      <c r="E103">
        <v>2.1080885198889999E-4</v>
      </c>
    </row>
    <row r="104" spans="1:5" x14ac:dyDescent="0.35">
      <c r="A104" t="s">
        <v>107</v>
      </c>
      <c r="D104">
        <v>7.0032903749961406E-5</v>
      </c>
      <c r="E104">
        <v>-2.8518849285309999E-4</v>
      </c>
    </row>
    <row r="105" spans="1:5" x14ac:dyDescent="0.35">
      <c r="A105" t="s">
        <v>108</v>
      </c>
      <c r="C105">
        <v>2.7098428457975301E-2</v>
      </c>
      <c r="D105">
        <v>6.6227679781150073E-5</v>
      </c>
      <c r="E105">
        <v>5.3200486581769996E-4</v>
      </c>
    </row>
    <row r="106" spans="1:5" x14ac:dyDescent="0.35">
      <c r="A106" t="s">
        <v>109</v>
      </c>
      <c r="C106">
        <v>2.5630544871091801E-2</v>
      </c>
    </row>
    <row r="107" spans="1:5" x14ac:dyDescent="0.35">
      <c r="A107" t="s">
        <v>110</v>
      </c>
      <c r="D107">
        <v>4.2995849071303383E-5</v>
      </c>
      <c r="E107">
        <v>-7.9969839134719223E-5</v>
      </c>
    </row>
    <row r="108" spans="1:5" x14ac:dyDescent="0.35">
      <c r="A108" t="s">
        <v>111</v>
      </c>
      <c r="C108">
        <v>2.5964383035898202E-2</v>
      </c>
      <c r="E108">
        <v>-5.097843240946E-4</v>
      </c>
    </row>
    <row r="109" spans="1:5" x14ac:dyDescent="0.35">
      <c r="A109" t="s">
        <v>112</v>
      </c>
      <c r="C109">
        <v>2.49710995703935E-2</v>
      </c>
    </row>
    <row r="110" spans="1:5" x14ac:dyDescent="0.35">
      <c r="A110" t="s">
        <v>113</v>
      </c>
      <c r="C110">
        <v>2.7489924803376101E-2</v>
      </c>
      <c r="E110">
        <v>1.0296977052348669E-5</v>
      </c>
    </row>
    <row r="111" spans="1:5" x14ac:dyDescent="0.35">
      <c r="A111" t="s">
        <v>114</v>
      </c>
      <c r="C111">
        <v>3.2770842313766403E-2</v>
      </c>
    </row>
    <row r="112" spans="1:5" x14ac:dyDescent="0.35">
      <c r="A112" t="s">
        <v>115</v>
      </c>
      <c r="C112">
        <v>3.3254444599151597E-2</v>
      </c>
    </row>
    <row r="113" spans="1:5" x14ac:dyDescent="0.35">
      <c r="A113" t="s">
        <v>116</v>
      </c>
      <c r="E113">
        <v>-7.0585330831818283E-5</v>
      </c>
    </row>
    <row r="114" spans="1:5" x14ac:dyDescent="0.35">
      <c r="A114" t="s">
        <v>117</v>
      </c>
      <c r="C114">
        <v>2.8197368606925E-2</v>
      </c>
      <c r="D114">
        <v>3.0951850931160152E-5</v>
      </c>
      <c r="E114">
        <v>1.7874188779380001E-4</v>
      </c>
    </row>
    <row r="115" spans="1:5" x14ac:dyDescent="0.35">
      <c r="A115" t="s">
        <v>118</v>
      </c>
      <c r="C115">
        <v>2.74016056209802E-2</v>
      </c>
      <c r="D115">
        <v>5.8182737120660022E-5</v>
      </c>
      <c r="E115">
        <v>-3.5932931496063247E-5</v>
      </c>
    </row>
    <row r="116" spans="1:5" x14ac:dyDescent="0.35">
      <c r="A116" t="s">
        <v>119</v>
      </c>
      <c r="C116">
        <v>3.0455337837338399E-2</v>
      </c>
      <c r="D116">
        <v>6.3471292378380895E-5</v>
      </c>
      <c r="E116">
        <v>-1.5318821533580001E-4</v>
      </c>
    </row>
    <row r="117" spans="1:5" x14ac:dyDescent="0.35">
      <c r="A117" t="s">
        <v>120</v>
      </c>
      <c r="C117">
        <v>3.2420959323644603E-2</v>
      </c>
      <c r="D117">
        <v>5.4520609410246827E-5</v>
      </c>
      <c r="E117">
        <v>2.484531723894E-4</v>
      </c>
    </row>
    <row r="118" spans="1:5" x14ac:dyDescent="0.35">
      <c r="A118" t="s">
        <v>121</v>
      </c>
      <c r="C118">
        <v>2.8874764218926399E-2</v>
      </c>
      <c r="D118">
        <v>1.055628235917E-4</v>
      </c>
      <c r="E118">
        <v>-2.531922946218E-4</v>
      </c>
    </row>
    <row r="119" spans="1:5" x14ac:dyDescent="0.35">
      <c r="A119" t="s">
        <v>122</v>
      </c>
      <c r="D119">
        <v>3.818876575678587E-5</v>
      </c>
      <c r="E119">
        <v>7.9914592788554728E-5</v>
      </c>
    </row>
    <row r="120" spans="1:5" x14ac:dyDescent="0.35">
      <c r="A120" t="s">
        <v>123</v>
      </c>
      <c r="C120">
        <v>2.8109500184655099E-2</v>
      </c>
      <c r="D120">
        <v>1.074012689059E-4</v>
      </c>
      <c r="E120">
        <v>3.1471264082929998E-4</v>
      </c>
    </row>
    <row r="121" spans="1:5" x14ac:dyDescent="0.35">
      <c r="A121" t="s">
        <v>124</v>
      </c>
      <c r="C121">
        <v>2.1083798259496599E-2</v>
      </c>
    </row>
    <row r="122" spans="1:5" x14ac:dyDescent="0.35">
      <c r="A122" t="s">
        <v>125</v>
      </c>
      <c r="C122">
        <v>2.7717834338545799E-2</v>
      </c>
      <c r="D122">
        <v>1.5777935914229602E-5</v>
      </c>
      <c r="E122">
        <v>2.5229726452380001E-4</v>
      </c>
    </row>
    <row r="123" spans="1:5" x14ac:dyDescent="0.35">
      <c r="A123" t="s">
        <v>126</v>
      </c>
      <c r="E123">
        <v>-9.1478163085412234E-5</v>
      </c>
    </row>
    <row r="124" spans="1:5" x14ac:dyDescent="0.35">
      <c r="A124" t="s">
        <v>127</v>
      </c>
      <c r="C124">
        <v>2.96491533517837E-2</v>
      </c>
    </row>
    <row r="125" spans="1:5" x14ac:dyDescent="0.35">
      <c r="A125" t="s">
        <v>128</v>
      </c>
      <c r="C125">
        <v>2.9239913448691299E-2</v>
      </c>
      <c r="D125">
        <v>7.8888158896006644E-5</v>
      </c>
      <c r="E125">
        <v>1.942218514159E-4</v>
      </c>
    </row>
    <row r="126" spans="1:5" x14ac:dyDescent="0.35">
      <c r="A126" t="s">
        <v>129</v>
      </c>
      <c r="C126">
        <v>2.66098957508802E-2</v>
      </c>
      <c r="D126">
        <v>1.3370363740249999E-4</v>
      </c>
      <c r="E126">
        <v>2.9894761973990001E-4</v>
      </c>
    </row>
    <row r="127" spans="1:5" x14ac:dyDescent="0.35">
      <c r="A127" t="s">
        <v>130</v>
      </c>
      <c r="D127">
        <v>4.9313806812278933E-5</v>
      </c>
      <c r="E127">
        <v>-1.2478618009479999E-4</v>
      </c>
    </row>
    <row r="128" spans="1:5" x14ac:dyDescent="0.35">
      <c r="A128" t="s">
        <v>131</v>
      </c>
      <c r="C128">
        <v>3.0363259837031299E-2</v>
      </c>
      <c r="D128">
        <v>4.3483756599016488E-5</v>
      </c>
      <c r="E128">
        <v>1.8091170932160001E-4</v>
      </c>
    </row>
    <row r="129" spans="1:5" x14ac:dyDescent="0.35">
      <c r="A129" t="s">
        <v>132</v>
      </c>
      <c r="C129">
        <v>2.6098484173417001E-2</v>
      </c>
      <c r="D129">
        <v>2.9944485504529439E-5</v>
      </c>
      <c r="E129">
        <v>6.6299682657700032E-5</v>
      </c>
    </row>
    <row r="130" spans="1:5" x14ac:dyDescent="0.35">
      <c r="A130" t="s">
        <v>133</v>
      </c>
      <c r="C130">
        <v>2.7424648404121399E-2</v>
      </c>
      <c r="D130">
        <v>6.9450201408471912E-5</v>
      </c>
      <c r="E130">
        <v>5.0743474275805063E-5</v>
      </c>
    </row>
    <row r="131" spans="1:5" x14ac:dyDescent="0.35">
      <c r="A131" t="s">
        <v>134</v>
      </c>
      <c r="E131">
        <v>-2.1849376207679999E-4</v>
      </c>
    </row>
    <row r="132" spans="1:5" x14ac:dyDescent="0.35">
      <c r="A132" t="s">
        <v>135</v>
      </c>
      <c r="D132">
        <v>4.9337737436871982E-5</v>
      </c>
      <c r="E132">
        <v>9.6450741693843156E-5</v>
      </c>
    </row>
    <row r="133" spans="1:5" x14ac:dyDescent="0.35">
      <c r="A133" t="s">
        <v>136</v>
      </c>
      <c r="C133">
        <v>2.8724450618028599E-2</v>
      </c>
      <c r="E133">
        <v>2.7591123944140002E-4</v>
      </c>
    </row>
    <row r="134" spans="1:5" x14ac:dyDescent="0.35">
      <c r="A134" t="s">
        <v>137</v>
      </c>
      <c r="E134">
        <v>-1.2809586769430001E-4</v>
      </c>
    </row>
    <row r="135" spans="1:5" x14ac:dyDescent="0.35">
      <c r="A135" t="s">
        <v>138</v>
      </c>
      <c r="E135">
        <v>1.9135243201159999E-4</v>
      </c>
    </row>
    <row r="136" spans="1:5" x14ac:dyDescent="0.35">
      <c r="A136" t="s">
        <v>139</v>
      </c>
      <c r="E136">
        <v>7.8574135841336101E-5</v>
      </c>
    </row>
    <row r="137" spans="1:5" x14ac:dyDescent="0.35">
      <c r="A137" t="s">
        <v>140</v>
      </c>
      <c r="C137">
        <v>2.2294208407402E-2</v>
      </c>
      <c r="D137">
        <v>2.5576335247023959E-5</v>
      </c>
      <c r="E137">
        <v>1.449314440833E-4</v>
      </c>
    </row>
    <row r="138" spans="1:5" x14ac:dyDescent="0.35">
      <c r="A138" t="s">
        <v>141</v>
      </c>
      <c r="C138">
        <v>2.3960843682289099E-2</v>
      </c>
      <c r="D138">
        <v>4.4972606701776392E-5</v>
      </c>
      <c r="E138">
        <v>-1.094401231966E-4</v>
      </c>
    </row>
    <row r="139" spans="1:5" x14ac:dyDescent="0.35">
      <c r="A139" t="s">
        <v>142</v>
      </c>
      <c r="C139">
        <v>2.7206428349018E-2</v>
      </c>
      <c r="D139">
        <v>7.2748014645185322E-5</v>
      </c>
      <c r="E139">
        <v>8.4336257714312524E-5</v>
      </c>
    </row>
    <row r="140" spans="1:5" x14ac:dyDescent="0.35">
      <c r="A140" t="s">
        <v>143</v>
      </c>
      <c r="D140">
        <v>5.0883270887425169E-5</v>
      </c>
      <c r="E140">
        <v>-1.4454405754800001E-4</v>
      </c>
    </row>
    <row r="141" spans="1:5" x14ac:dyDescent="0.35">
      <c r="A141" t="s">
        <v>144</v>
      </c>
      <c r="C141">
        <v>2.60137487202882E-2</v>
      </c>
      <c r="D141">
        <v>3.8653295632684603E-5</v>
      </c>
      <c r="E141">
        <v>1.8668431948754009E-5</v>
      </c>
    </row>
    <row r="142" spans="1:5" x14ac:dyDescent="0.35">
      <c r="A142" t="s">
        <v>145</v>
      </c>
      <c r="C142">
        <v>3.0845481902360899E-2</v>
      </c>
      <c r="E142">
        <v>5.0457939505569997E-4</v>
      </c>
    </row>
    <row r="143" spans="1:5" x14ac:dyDescent="0.35">
      <c r="A143" t="s">
        <v>146</v>
      </c>
      <c r="C143">
        <v>2.91711073368787E-2</v>
      </c>
    </row>
    <row r="144" spans="1:5" x14ac:dyDescent="0.35">
      <c r="A144" t="s">
        <v>147</v>
      </c>
      <c r="C144">
        <v>2.8422180563211399E-2</v>
      </c>
      <c r="D144">
        <v>1.077658380381E-4</v>
      </c>
      <c r="E144">
        <v>2.8853315598098561E-5</v>
      </c>
    </row>
    <row r="145" spans="1:5" x14ac:dyDescent="0.35">
      <c r="A145" t="s">
        <v>148</v>
      </c>
      <c r="C145">
        <v>2.69206259399652E-2</v>
      </c>
    </row>
    <row r="146" spans="1:5" x14ac:dyDescent="0.35">
      <c r="A146" t="s">
        <v>149</v>
      </c>
      <c r="D146">
        <v>7.6467484177555889E-5</v>
      </c>
      <c r="E146">
        <v>7.7260512625789996E-4</v>
      </c>
    </row>
    <row r="147" spans="1:5" x14ac:dyDescent="0.35">
      <c r="A147" t="s">
        <v>150</v>
      </c>
      <c r="C147">
        <v>2.9091024771332699E-2</v>
      </c>
      <c r="D147">
        <v>9.6365081844851361E-5</v>
      </c>
      <c r="E147">
        <v>-9.03658292372711E-5</v>
      </c>
    </row>
    <row r="148" spans="1:5" x14ac:dyDescent="0.35">
      <c r="A148" t="s">
        <v>151</v>
      </c>
      <c r="C148">
        <v>1.1331455782055799E-2</v>
      </c>
      <c r="D148">
        <v>1.5015809913159999E-4</v>
      </c>
      <c r="E148">
        <v>1.9772745145010001E-4</v>
      </c>
    </row>
    <row r="149" spans="1:5" x14ac:dyDescent="0.35">
      <c r="A149" t="s">
        <v>152</v>
      </c>
      <c r="C149">
        <v>2.5884108617901799E-2</v>
      </c>
      <c r="D149">
        <v>6.0802260122727603E-5</v>
      </c>
      <c r="E149">
        <v>8.4051862359046936E-5</v>
      </c>
    </row>
    <row r="150" spans="1:5" x14ac:dyDescent="0.35">
      <c r="A150" t="s">
        <v>153</v>
      </c>
      <c r="C150">
        <v>2.2941933944821299E-2</v>
      </c>
      <c r="D150">
        <v>4.332737807999365E-5</v>
      </c>
      <c r="E150">
        <v>-7.5416734034661204E-5</v>
      </c>
    </row>
    <row r="151" spans="1:5" x14ac:dyDescent="0.35">
      <c r="A151" t="s">
        <v>154</v>
      </c>
      <c r="D151">
        <v>5.4185158660402521E-5</v>
      </c>
      <c r="E151">
        <v>-7.2969334723893553E-5</v>
      </c>
    </row>
    <row r="152" spans="1:5" x14ac:dyDescent="0.35">
      <c r="A152" t="s">
        <v>155</v>
      </c>
      <c r="C152">
        <v>2.4784030392765999E-2</v>
      </c>
      <c r="D152">
        <v>9.0025736426468939E-5</v>
      </c>
    </row>
    <row r="153" spans="1:5" x14ac:dyDescent="0.35">
      <c r="A153" t="s">
        <v>156</v>
      </c>
      <c r="B153">
        <v>1888.59521484375</v>
      </c>
      <c r="C153">
        <v>2.6353333145379999E-2</v>
      </c>
      <c r="D153">
        <v>4.4717446144204587E-5</v>
      </c>
      <c r="E153">
        <v>8.341995271621272E-5</v>
      </c>
    </row>
    <row r="154" spans="1:5" x14ac:dyDescent="0.35">
      <c r="A154" t="s">
        <v>157</v>
      </c>
      <c r="C154">
        <v>3.4243222326040199E-2</v>
      </c>
      <c r="D154">
        <v>4.7147896111709997E-5</v>
      </c>
      <c r="E154">
        <v>3.2233881938736893E-5</v>
      </c>
    </row>
    <row r="155" spans="1:5" x14ac:dyDescent="0.35">
      <c r="A155" t="s">
        <v>158</v>
      </c>
      <c r="B155">
        <v>1887.76708984375</v>
      </c>
      <c r="C155">
        <v>2.61873379349708E-2</v>
      </c>
      <c r="D155">
        <v>2.759475682978518E-5</v>
      </c>
      <c r="E155">
        <v>-7.4666379077825695E-5</v>
      </c>
    </row>
    <row r="156" spans="1:5" x14ac:dyDescent="0.35">
      <c r="A156" t="s">
        <v>159</v>
      </c>
      <c r="C156">
        <v>2.96415463089942E-2</v>
      </c>
      <c r="D156">
        <v>5.9402198530733592E-5</v>
      </c>
      <c r="E156">
        <v>8.4338193119037896E-5</v>
      </c>
    </row>
    <row r="157" spans="1:5" x14ac:dyDescent="0.35">
      <c r="A157" t="s">
        <v>160</v>
      </c>
      <c r="C157">
        <v>2.60551869869232E-2</v>
      </c>
      <c r="D157">
        <v>1.0261763236480001E-4</v>
      </c>
      <c r="E157">
        <v>-1.287995110033E-4</v>
      </c>
    </row>
    <row r="158" spans="1:5" x14ac:dyDescent="0.35">
      <c r="A158" t="s">
        <v>161</v>
      </c>
      <c r="B158">
        <v>1860.441650390625</v>
      </c>
      <c r="C158">
        <v>2.8876520693302099E-2</v>
      </c>
      <c r="D158">
        <v>7.0111957029439509E-5</v>
      </c>
      <c r="E158">
        <v>4.355096607469E-4</v>
      </c>
    </row>
    <row r="159" spans="1:5" x14ac:dyDescent="0.35">
      <c r="A159" t="s">
        <v>162</v>
      </c>
      <c r="D159">
        <v>7.9376062785740942E-5</v>
      </c>
      <c r="E159">
        <v>5.7332077994939998E-4</v>
      </c>
    </row>
    <row r="160" spans="1:5" x14ac:dyDescent="0.35">
      <c r="A160" t="s">
        <v>163</v>
      </c>
      <c r="C160">
        <v>2.20129787921905E-2</v>
      </c>
      <c r="D160">
        <v>4.4489988795248792E-5</v>
      </c>
      <c r="E160">
        <v>5.0281238509340004E-4</v>
      </c>
    </row>
    <row r="161" spans="1:5" x14ac:dyDescent="0.35">
      <c r="A161" t="s">
        <v>164</v>
      </c>
      <c r="C161">
        <v>2.6843162253499E-2</v>
      </c>
      <c r="E161">
        <v>1.2961588799949999E-4</v>
      </c>
    </row>
    <row r="162" spans="1:5" x14ac:dyDescent="0.35">
      <c r="A162" t="s">
        <v>165</v>
      </c>
      <c r="D162">
        <v>1.7243824549950001E-4</v>
      </c>
      <c r="E162">
        <v>8.4535058704204857E-6</v>
      </c>
    </row>
    <row r="163" spans="1:5" x14ac:dyDescent="0.35">
      <c r="A163" t="s">
        <v>166</v>
      </c>
      <c r="C163">
        <v>2.78821382671594E-2</v>
      </c>
    </row>
    <row r="164" spans="1:5" x14ac:dyDescent="0.35">
      <c r="A164" t="s">
        <v>167</v>
      </c>
      <c r="D164">
        <v>1.1370652646290001E-4</v>
      </c>
      <c r="E164">
        <v>3.9315174217329998E-4</v>
      </c>
    </row>
    <row r="165" spans="1:5" x14ac:dyDescent="0.35">
      <c r="A165" t="s">
        <v>168</v>
      </c>
      <c r="C165">
        <v>2.8466939926147398E-2</v>
      </c>
      <c r="E165">
        <v>2.2736419850843959E-5</v>
      </c>
    </row>
    <row r="166" spans="1:5" x14ac:dyDescent="0.35">
      <c r="A166" t="s">
        <v>169</v>
      </c>
      <c r="C166">
        <v>3.0955351889133401E-2</v>
      </c>
      <c r="D166">
        <v>5.5156739108497277E-5</v>
      </c>
      <c r="E166">
        <v>7.5424046372063458E-5</v>
      </c>
    </row>
    <row r="167" spans="1:5" x14ac:dyDescent="0.35">
      <c r="A167" t="s">
        <v>170</v>
      </c>
      <c r="C167">
        <v>2.5471029803156801E-2</v>
      </c>
    </row>
    <row r="168" spans="1:5" x14ac:dyDescent="0.35">
      <c r="A168" t="s">
        <v>171</v>
      </c>
      <c r="E168">
        <v>2.053221251117E-4</v>
      </c>
    </row>
    <row r="169" spans="1:5" x14ac:dyDescent="0.35">
      <c r="A169" t="s">
        <v>172</v>
      </c>
      <c r="C169">
        <v>3.4032374620437601E-2</v>
      </c>
      <c r="D169">
        <v>2.4388449674E-4</v>
      </c>
      <c r="E169">
        <v>5.4222531616680001E-4</v>
      </c>
    </row>
    <row r="170" spans="1:5" x14ac:dyDescent="0.35">
      <c r="A170" t="s">
        <v>173</v>
      </c>
      <c r="C170">
        <v>3.5107314586639397E-2</v>
      </c>
    </row>
    <row r="171" spans="1:5" x14ac:dyDescent="0.35">
      <c r="A171" t="s">
        <v>174</v>
      </c>
      <c r="C171">
        <v>3.0864300206303499E-2</v>
      </c>
    </row>
    <row r="172" spans="1:5" x14ac:dyDescent="0.35">
      <c r="A172" t="s">
        <v>175</v>
      </c>
      <c r="C172">
        <v>3.1630631536245297E-2</v>
      </c>
      <c r="D172">
        <v>2.4400181428059999E-4</v>
      </c>
      <c r="E172">
        <v>6.2465929659080005E-4</v>
      </c>
    </row>
    <row r="173" spans="1:5" x14ac:dyDescent="0.35">
      <c r="A173" t="s">
        <v>176</v>
      </c>
      <c r="C173">
        <v>3.0455660074949199E-2</v>
      </c>
      <c r="E173">
        <v>-5.9775156842079007E-5</v>
      </c>
    </row>
    <row r="174" spans="1:5" x14ac:dyDescent="0.35">
      <c r="A174" t="s">
        <v>177</v>
      </c>
      <c r="C174">
        <v>2.4647487327456401E-2</v>
      </c>
    </row>
    <row r="175" spans="1:5" x14ac:dyDescent="0.35">
      <c r="A175" t="s">
        <v>178</v>
      </c>
      <c r="C175">
        <v>3.3227179199457099E-2</v>
      </c>
      <c r="E175">
        <v>3.822788130491E-4</v>
      </c>
    </row>
    <row r="176" spans="1:5" x14ac:dyDescent="0.35">
      <c r="A176" t="s">
        <v>179</v>
      </c>
      <c r="C176">
        <v>2.76815500110387E-2</v>
      </c>
    </row>
    <row r="177" spans="1:5" x14ac:dyDescent="0.35">
      <c r="A177" t="s">
        <v>180</v>
      </c>
      <c r="B177">
        <v>1890.282104492188</v>
      </c>
      <c r="C177">
        <v>2.8827687725424701E-2</v>
      </c>
      <c r="D177">
        <v>4.5877048250986263E-5</v>
      </c>
      <c r="E177">
        <v>7.5662152084987611E-5</v>
      </c>
    </row>
    <row r="178" spans="1:5" x14ac:dyDescent="0.35">
      <c r="A178" t="s">
        <v>181</v>
      </c>
      <c r="C178">
        <v>2.7356840670108701E-2</v>
      </c>
      <c r="D178">
        <v>6.2848594097886235E-5</v>
      </c>
      <c r="E178">
        <v>1.5218340558930001E-4</v>
      </c>
    </row>
    <row r="179" spans="1:5" x14ac:dyDescent="0.35">
      <c r="A179" t="s">
        <v>182</v>
      </c>
      <c r="C179">
        <v>3.3171050250530201E-2</v>
      </c>
      <c r="D179">
        <v>1.239730918314E-4</v>
      </c>
      <c r="E179">
        <v>3.5368968383400003E-4</v>
      </c>
    </row>
    <row r="180" spans="1:5" x14ac:dyDescent="0.35">
      <c r="A180" t="s">
        <v>183</v>
      </c>
      <c r="D180">
        <v>6.190221756696701E-5</v>
      </c>
      <c r="E180">
        <v>3.1089762342160002E-4</v>
      </c>
    </row>
    <row r="181" spans="1:5" x14ac:dyDescent="0.35">
      <c r="A181" t="s">
        <v>184</v>
      </c>
      <c r="C181">
        <v>3.2866619527339901E-2</v>
      </c>
      <c r="D181">
        <v>4.2807638237718493E-5</v>
      </c>
      <c r="E181">
        <v>1.203608990181E-4</v>
      </c>
    </row>
    <row r="182" spans="1:5" x14ac:dyDescent="0.35">
      <c r="A182" t="s">
        <v>185</v>
      </c>
      <c r="C182">
        <v>2.7548290789127301E-2</v>
      </c>
      <c r="D182">
        <v>8.1765705544967204E-5</v>
      </c>
      <c r="E182">
        <v>2.2438800442614599E-5</v>
      </c>
    </row>
    <row r="183" spans="1:5" x14ac:dyDescent="0.35">
      <c r="A183" t="s">
        <v>186</v>
      </c>
      <c r="C183">
        <v>2.1757563576102201E-2</v>
      </c>
      <c r="D183">
        <v>5.5014850659063093E-5</v>
      </c>
      <c r="E183">
        <v>-3.7905767385382212E-5</v>
      </c>
    </row>
    <row r="184" spans="1:5" x14ac:dyDescent="0.35">
      <c r="A184" t="s">
        <v>187</v>
      </c>
      <c r="B184">
        <v>1865.634155273437</v>
      </c>
      <c r="C184">
        <v>2.6651514694094599E-2</v>
      </c>
      <c r="D184">
        <v>7.3933639214374125E-5</v>
      </c>
      <c r="E184">
        <v>1.3194077473590001E-4</v>
      </c>
    </row>
    <row r="185" spans="1:5" x14ac:dyDescent="0.35">
      <c r="A185" t="s">
        <v>188</v>
      </c>
      <c r="B185">
        <v>1903.675903320312</v>
      </c>
      <c r="C185">
        <v>2.4124246090650499E-2</v>
      </c>
      <c r="D185">
        <v>6.9697576691396534E-5</v>
      </c>
      <c r="E185">
        <v>-5.3220006520859897E-5</v>
      </c>
    </row>
    <row r="186" spans="1:5" x14ac:dyDescent="0.35">
      <c r="A186" t="s">
        <v>189</v>
      </c>
      <c r="B186">
        <v>1887.126831054688</v>
      </c>
      <c r="C186">
        <v>3.3778522163629497E-2</v>
      </c>
      <c r="D186">
        <v>1.048271078616E-4</v>
      </c>
      <c r="E186">
        <v>2.6555961812839998E-4</v>
      </c>
    </row>
    <row r="187" spans="1:5" x14ac:dyDescent="0.35">
      <c r="A187" t="s">
        <v>190</v>
      </c>
      <c r="C187">
        <v>3.2988011837005601E-2</v>
      </c>
      <c r="D187">
        <v>1.067249395418E-4</v>
      </c>
      <c r="E187">
        <v>8.5776596097269999E-4</v>
      </c>
    </row>
    <row r="188" spans="1:5" x14ac:dyDescent="0.35">
      <c r="A188" t="s">
        <v>191</v>
      </c>
      <c r="B188">
        <v>1909.274780273437</v>
      </c>
      <c r="C188">
        <v>3.2194729894399601E-2</v>
      </c>
      <c r="D188">
        <v>8.1318103184457868E-5</v>
      </c>
      <c r="E188">
        <v>-1.2360035907470001E-4</v>
      </c>
    </row>
    <row r="189" spans="1:5" x14ac:dyDescent="0.35">
      <c r="A189" t="s">
        <v>192</v>
      </c>
      <c r="D189">
        <v>4.1334864363307133E-5</v>
      </c>
      <c r="E189">
        <v>1.5730824088670001E-4</v>
      </c>
    </row>
    <row r="190" spans="1:5" x14ac:dyDescent="0.35">
      <c r="A190" t="s">
        <v>193</v>
      </c>
      <c r="C190">
        <v>2.9067786410450901E-2</v>
      </c>
      <c r="D190">
        <v>6.2085942772682756E-5</v>
      </c>
      <c r="E190">
        <v>7.3895649984469995E-4</v>
      </c>
    </row>
    <row r="191" spans="1:5" x14ac:dyDescent="0.35">
      <c r="A191" t="s">
        <v>194</v>
      </c>
      <c r="C191">
        <v>2.6578823104500701E-2</v>
      </c>
      <c r="D191">
        <v>5.3257743275025859E-5</v>
      </c>
      <c r="E191">
        <v>-6.1663461383430003E-4</v>
      </c>
    </row>
    <row r="192" spans="1:5" x14ac:dyDescent="0.35">
      <c r="A192" t="s">
        <v>195</v>
      </c>
      <c r="C192">
        <v>2.7911582961678501E-2</v>
      </c>
      <c r="D192">
        <v>6.9647736381739378E-5</v>
      </c>
      <c r="E192">
        <v>-1.409053656971E-4</v>
      </c>
    </row>
    <row r="193" spans="1:5" x14ac:dyDescent="0.35">
      <c r="A193" t="s">
        <v>196</v>
      </c>
      <c r="B193">
        <v>1923.13134765625</v>
      </c>
      <c r="C193">
        <v>2.7495145797729399E-2</v>
      </c>
      <c r="D193">
        <v>8.4362662164494395E-5</v>
      </c>
      <c r="E193">
        <v>5.2633149607572711E-5</v>
      </c>
    </row>
    <row r="194" spans="1:5" x14ac:dyDescent="0.35">
      <c r="A194" t="s">
        <v>197</v>
      </c>
      <c r="B194">
        <v>1887.672973632812</v>
      </c>
      <c r="C194">
        <v>3.0803412199020299E-2</v>
      </c>
      <c r="D194">
        <v>6.1795260990038514E-5</v>
      </c>
      <c r="E194">
        <v>7.3689105920490003E-4</v>
      </c>
    </row>
    <row r="195" spans="1:5" x14ac:dyDescent="0.35">
      <c r="A195" t="s">
        <v>198</v>
      </c>
      <c r="C195">
        <v>3.3583529293537098E-2</v>
      </c>
      <c r="D195">
        <v>2.6198122213827449E-5</v>
      </c>
      <c r="E195">
        <v>-1.61871445016E-4</v>
      </c>
    </row>
    <row r="196" spans="1:5" x14ac:dyDescent="0.35">
      <c r="A196" t="s">
        <v>199</v>
      </c>
      <c r="C196">
        <v>2.9080655425786899E-2</v>
      </c>
      <c r="D196">
        <v>4.9413738452130929E-5</v>
      </c>
      <c r="E196">
        <v>-1.2780721590380001E-4</v>
      </c>
    </row>
    <row r="197" spans="1:5" x14ac:dyDescent="0.35">
      <c r="A197" t="s">
        <v>200</v>
      </c>
      <c r="C197">
        <v>2.55302749574184E-2</v>
      </c>
      <c r="D197">
        <v>4.1421251808060333E-5</v>
      </c>
      <c r="E197">
        <v>-1.4272236148819999E-4</v>
      </c>
    </row>
    <row r="198" spans="1:5" x14ac:dyDescent="0.35">
      <c r="A198" t="s">
        <v>201</v>
      </c>
      <c r="B198">
        <v>1884.319580078125</v>
      </c>
      <c r="C198">
        <v>3.11086233705282E-2</v>
      </c>
      <c r="E198">
        <v>1.714540412649E-4</v>
      </c>
    </row>
    <row r="199" spans="1:5" x14ac:dyDescent="0.35">
      <c r="A199" t="s">
        <v>202</v>
      </c>
      <c r="C199">
        <v>2.30365693569183E-2</v>
      </c>
      <c r="D199">
        <v>3.9151273085735738E-5</v>
      </c>
      <c r="E199">
        <v>1.646992168389E-4</v>
      </c>
    </row>
    <row r="200" spans="1:5" x14ac:dyDescent="0.35">
      <c r="A200" t="s">
        <v>203</v>
      </c>
      <c r="C200">
        <v>2.6376491412520402E-2</v>
      </c>
      <c r="D200">
        <v>7.0041678554844111E-5</v>
      </c>
      <c r="E200">
        <v>1.3033805589649999E-4</v>
      </c>
    </row>
    <row r="201" spans="1:5" x14ac:dyDescent="0.35">
      <c r="A201" t="s">
        <v>204</v>
      </c>
      <c r="C201">
        <v>2.5280892848968499E-2</v>
      </c>
      <c r="D201">
        <v>4.3797750549856573E-5</v>
      </c>
      <c r="E201">
        <v>-1.3245141599319999E-4</v>
      </c>
    </row>
    <row r="202" spans="1:5" x14ac:dyDescent="0.35">
      <c r="A202" t="s">
        <v>205</v>
      </c>
      <c r="D202">
        <v>6.0820122598670423E-5</v>
      </c>
      <c r="E202">
        <v>-2.978654811158E-4</v>
      </c>
    </row>
    <row r="203" spans="1:5" x14ac:dyDescent="0.35">
      <c r="A203" t="s">
        <v>206</v>
      </c>
      <c r="B203">
        <v>1914.169921875</v>
      </c>
      <c r="C203">
        <v>2.8444470837712201E-2</v>
      </c>
      <c r="D203">
        <v>5.174425314180553E-5</v>
      </c>
      <c r="E203">
        <v>8.2299491623410005E-4</v>
      </c>
    </row>
    <row r="204" spans="1:5" x14ac:dyDescent="0.35">
      <c r="A204" t="s">
        <v>207</v>
      </c>
      <c r="B204">
        <v>1911.460083007812</v>
      </c>
      <c r="C204">
        <v>1.9385209307074502E-2</v>
      </c>
      <c r="D204">
        <v>8.357338811038062E-5</v>
      </c>
      <c r="E204">
        <v>-8.8423541455995291E-5</v>
      </c>
    </row>
    <row r="205" spans="1:5" x14ac:dyDescent="0.35">
      <c r="A205" t="s">
        <v>208</v>
      </c>
      <c r="B205">
        <v>1911.16748046875</v>
      </c>
      <c r="D205">
        <v>5.2566960221156478E-5</v>
      </c>
      <c r="E205">
        <v>-3.9518094854420002E-4</v>
      </c>
    </row>
    <row r="206" spans="1:5" x14ac:dyDescent="0.35">
      <c r="A206" t="s">
        <v>209</v>
      </c>
      <c r="C206">
        <v>3.1868312507867799E-2</v>
      </c>
      <c r="D206">
        <v>1.089685247279E-4</v>
      </c>
      <c r="E206">
        <v>-1.0286720935255001E-3</v>
      </c>
    </row>
    <row r="207" spans="1:5" x14ac:dyDescent="0.35">
      <c r="A207" t="s">
        <v>210</v>
      </c>
      <c r="C207">
        <v>2.7163043618202199E-2</v>
      </c>
      <c r="D207">
        <v>5.0296552217332653E-5</v>
      </c>
      <c r="E207">
        <v>6.2295078532770005E-4</v>
      </c>
    </row>
    <row r="208" spans="1:5" x14ac:dyDescent="0.35">
      <c r="A208" t="s">
        <v>211</v>
      </c>
      <c r="B208">
        <v>1904.148803710937</v>
      </c>
      <c r="C208">
        <v>2.5620257481932598E-2</v>
      </c>
      <c r="D208">
        <v>7.0932605012785643E-5</v>
      </c>
      <c r="E208">
        <v>1.5894454554650001E-4</v>
      </c>
    </row>
    <row r="209" spans="1:5" x14ac:dyDescent="0.35">
      <c r="A209" t="s">
        <v>212</v>
      </c>
      <c r="B209">
        <v>1910.8740234375</v>
      </c>
      <c r="C209">
        <v>2.4597344920039101E-2</v>
      </c>
      <c r="D209">
        <v>7.2467184509150684E-5</v>
      </c>
      <c r="E209">
        <v>5.7398743228979996E-4</v>
      </c>
    </row>
    <row r="210" spans="1:5" x14ac:dyDescent="0.35">
      <c r="A210" t="s">
        <v>213</v>
      </c>
      <c r="B210">
        <v>1885.61474609375</v>
      </c>
      <c r="D210">
        <v>2.8880916943307969E-5</v>
      </c>
      <c r="E210">
        <v>-2.301605272805E-4</v>
      </c>
    </row>
    <row r="211" spans="1:5" x14ac:dyDescent="0.35">
      <c r="A211" t="s">
        <v>214</v>
      </c>
      <c r="C211">
        <v>3.2318759709596599E-2</v>
      </c>
      <c r="D211">
        <v>2.7596137442742471E-5</v>
      </c>
    </row>
    <row r="212" spans="1:5" x14ac:dyDescent="0.35">
      <c r="A212" t="s">
        <v>215</v>
      </c>
      <c r="C212">
        <v>3.2010961323976503E-2</v>
      </c>
      <c r="D212">
        <v>6.1106700741220266E-5</v>
      </c>
      <c r="E212">
        <v>2.585277252364E-4</v>
      </c>
    </row>
    <row r="213" spans="1:5" x14ac:dyDescent="0.35">
      <c r="A213" t="s">
        <v>216</v>
      </c>
      <c r="C213">
        <v>2.57071256637573E-2</v>
      </c>
      <c r="D213">
        <v>5.6310851505259052E-5</v>
      </c>
      <c r="E213">
        <v>7.655071676708E-4</v>
      </c>
    </row>
    <row r="214" spans="1:5" x14ac:dyDescent="0.35">
      <c r="A214" t="s">
        <v>217</v>
      </c>
      <c r="B214">
        <v>1895.632080078125</v>
      </c>
      <c r="C214">
        <v>2.87140551954507E-2</v>
      </c>
      <c r="D214">
        <v>8.3552491560112685E-5</v>
      </c>
      <c r="E214">
        <v>1.260910503333E-4</v>
      </c>
    </row>
    <row r="215" spans="1:5" x14ac:dyDescent="0.35">
      <c r="A215" t="s">
        <v>218</v>
      </c>
      <c r="B215">
        <v>1897.868041992188</v>
      </c>
      <c r="C215">
        <v>2.6942186057567499E-2</v>
      </c>
      <c r="D215">
        <v>7.2559683758299798E-5</v>
      </c>
      <c r="E215">
        <v>-3.5915817716149998E-4</v>
      </c>
    </row>
    <row r="216" spans="1:5" x14ac:dyDescent="0.35">
      <c r="A216" t="s">
        <v>219</v>
      </c>
      <c r="E216">
        <v>4.627836751751E-4</v>
      </c>
    </row>
    <row r="217" spans="1:5" x14ac:dyDescent="0.35">
      <c r="A217" t="s">
        <v>220</v>
      </c>
      <c r="C217">
        <v>3.0544824898242898E-2</v>
      </c>
      <c r="D217">
        <v>5.8578498283168301E-5</v>
      </c>
      <c r="E217">
        <v>5.5576756130900002E-4</v>
      </c>
    </row>
    <row r="218" spans="1:5" x14ac:dyDescent="0.35">
      <c r="A218" t="s">
        <v>221</v>
      </c>
      <c r="C218">
        <v>3.3590383827686303E-2</v>
      </c>
      <c r="D218">
        <v>4.911161886411719E-5</v>
      </c>
      <c r="E218">
        <v>1.158544328063E-4</v>
      </c>
    </row>
    <row r="219" spans="1:5" x14ac:dyDescent="0.35">
      <c r="A219" t="s">
        <v>222</v>
      </c>
      <c r="C219">
        <v>3.0857015401124899E-2</v>
      </c>
      <c r="D219">
        <v>6.2196260842029005E-5</v>
      </c>
      <c r="E219">
        <v>7.3149887612089515E-5</v>
      </c>
    </row>
    <row r="220" spans="1:5" x14ac:dyDescent="0.35">
      <c r="A220" t="s">
        <v>223</v>
      </c>
      <c r="C220">
        <v>2.46313586831092E-2</v>
      </c>
      <c r="D220">
        <v>6.4388623286504298E-5</v>
      </c>
      <c r="E220">
        <v>5.4636731510979998E-4</v>
      </c>
    </row>
    <row r="221" spans="1:5" x14ac:dyDescent="0.35">
      <c r="A221" t="s">
        <v>224</v>
      </c>
      <c r="C221">
        <v>2.5048790499567899E-2</v>
      </c>
      <c r="D221">
        <v>7.6995536801405251E-5</v>
      </c>
      <c r="E221">
        <v>-2.1775600907849999E-4</v>
      </c>
    </row>
    <row r="222" spans="1:5" x14ac:dyDescent="0.35">
      <c r="A222" t="s">
        <v>225</v>
      </c>
      <c r="C222">
        <v>2.71784532815217E-2</v>
      </c>
      <c r="D222">
        <v>5.0339785957476131E-5</v>
      </c>
      <c r="E222">
        <v>7.3623261414460005E-4</v>
      </c>
    </row>
    <row r="223" spans="1:5" x14ac:dyDescent="0.35">
      <c r="A223" t="s">
        <v>226</v>
      </c>
      <c r="C223">
        <v>3.07617988437414E-2</v>
      </c>
      <c r="D223">
        <v>9.8872784292325377E-5</v>
      </c>
      <c r="E223">
        <v>-8.1285921623930335E-5</v>
      </c>
    </row>
    <row r="224" spans="1:5" x14ac:dyDescent="0.35">
      <c r="A224" t="s">
        <v>227</v>
      </c>
      <c r="C224">
        <v>2.9230343177914599E-2</v>
      </c>
      <c r="D224">
        <v>1.288225466851E-4</v>
      </c>
      <c r="E224">
        <v>4.4630432967090002E-4</v>
      </c>
    </row>
    <row r="225" spans="1:5" x14ac:dyDescent="0.35">
      <c r="A225" t="s">
        <v>228</v>
      </c>
      <c r="C225">
        <v>2.9554059728979998E-2</v>
      </c>
      <c r="D225">
        <v>6.4779218519106507E-5</v>
      </c>
      <c r="E225">
        <v>-1.178376478492E-4</v>
      </c>
    </row>
    <row r="226" spans="1:5" x14ac:dyDescent="0.35">
      <c r="A226" t="s">
        <v>229</v>
      </c>
      <c r="C226">
        <v>3.0485263094305898E-2</v>
      </c>
      <c r="D226">
        <v>1.105854898924E-4</v>
      </c>
      <c r="E226">
        <v>-5.5605476518394432E-5</v>
      </c>
    </row>
    <row r="227" spans="1:5" x14ac:dyDescent="0.35">
      <c r="A227" t="s">
        <v>230</v>
      </c>
      <c r="C227">
        <v>3.6986701190471601E-2</v>
      </c>
      <c r="D227">
        <v>9.1462767159100622E-5</v>
      </c>
      <c r="E227">
        <v>2.9118418751750141E-5</v>
      </c>
    </row>
    <row r="228" spans="1:5" x14ac:dyDescent="0.35">
      <c r="A228" t="s">
        <v>231</v>
      </c>
      <c r="C228">
        <v>3.7696588784456198E-2</v>
      </c>
      <c r="D228">
        <v>1.3081067299930001E-4</v>
      </c>
      <c r="E228">
        <v>6.7836750531569123E-5</v>
      </c>
    </row>
    <row r="229" spans="1:5" x14ac:dyDescent="0.35">
      <c r="A229" t="s">
        <v>232</v>
      </c>
      <c r="C229">
        <v>3.0808482319116499E-2</v>
      </c>
      <c r="D229">
        <v>7.7153454185463488E-5</v>
      </c>
      <c r="E229">
        <v>8.5356662748379999E-4</v>
      </c>
    </row>
    <row r="230" spans="1:5" x14ac:dyDescent="0.35">
      <c r="A230" t="s">
        <v>233</v>
      </c>
      <c r="B230">
        <v>1899.917236328125</v>
      </c>
      <c r="C230">
        <v>2.69742645323276E-2</v>
      </c>
      <c r="D230">
        <v>7.4239193054381758E-5</v>
      </c>
      <c r="E230">
        <v>2.763269294518E-4</v>
      </c>
    </row>
    <row r="231" spans="1:5" x14ac:dyDescent="0.35">
      <c r="A231" t="s">
        <v>234</v>
      </c>
      <c r="B231">
        <v>1887.519287109375</v>
      </c>
      <c r="C231">
        <v>2.80641950666904E-2</v>
      </c>
      <c r="D231">
        <v>4.3645628466038033E-5</v>
      </c>
      <c r="E231">
        <v>2.4929604478529651E-5</v>
      </c>
    </row>
    <row r="232" spans="1:5" x14ac:dyDescent="0.35">
      <c r="A232" t="s">
        <v>235</v>
      </c>
      <c r="E232">
        <v>-2.2297033865470439E-5</v>
      </c>
    </row>
    <row r="233" spans="1:5" x14ac:dyDescent="0.35">
      <c r="A233" t="s">
        <v>236</v>
      </c>
      <c r="C233">
        <v>3.19150052964687E-2</v>
      </c>
      <c r="D233">
        <v>2.2071355488151308E-5</v>
      </c>
      <c r="E233">
        <v>3.6699313204729999E-4</v>
      </c>
    </row>
    <row r="234" spans="1:5" x14ac:dyDescent="0.35">
      <c r="A234" t="s">
        <v>237</v>
      </c>
      <c r="C234">
        <v>3.6681327968835803E-2</v>
      </c>
      <c r="D234">
        <v>5.8590969274519011E-5</v>
      </c>
      <c r="E234">
        <v>2.3732322733840001E-4</v>
      </c>
    </row>
    <row r="235" spans="1:5" x14ac:dyDescent="0.35">
      <c r="A235" t="s">
        <v>238</v>
      </c>
      <c r="C235">
        <v>3.6226224154233898E-2</v>
      </c>
      <c r="D235">
        <v>7.2462462412659079E-5</v>
      </c>
      <c r="E235">
        <v>6.7814653448294848E-5</v>
      </c>
    </row>
    <row r="236" spans="1:5" x14ac:dyDescent="0.35">
      <c r="A236" t="s">
        <v>239</v>
      </c>
      <c r="B236">
        <v>1874.829833984375</v>
      </c>
      <c r="C236">
        <v>3.3034965395927401E-2</v>
      </c>
      <c r="D236">
        <v>4.5368851715466008E-5</v>
      </c>
      <c r="E236">
        <v>4.4146867003290002E-4</v>
      </c>
    </row>
    <row r="237" spans="1:5" x14ac:dyDescent="0.35">
      <c r="A237" t="s">
        <v>240</v>
      </c>
      <c r="C237">
        <v>2.7767194435000399E-2</v>
      </c>
      <c r="D237">
        <v>4.707679909188301E-5</v>
      </c>
      <c r="E237">
        <v>-7.6838863606099039E-5</v>
      </c>
    </row>
    <row r="238" spans="1:5" x14ac:dyDescent="0.35">
      <c r="A238" t="s">
        <v>241</v>
      </c>
      <c r="C238">
        <v>3.0729703605175001E-2</v>
      </c>
      <c r="D238">
        <v>2.3438198695657771E-5</v>
      </c>
      <c r="E238">
        <v>-5.6739256251603358E-5</v>
      </c>
    </row>
    <row r="239" spans="1:5" x14ac:dyDescent="0.35">
      <c r="A239" t="s">
        <v>242</v>
      </c>
      <c r="C239">
        <v>2.2557068616151799E-2</v>
      </c>
      <c r="D239">
        <v>3.9660884795011953E-5</v>
      </c>
      <c r="E239">
        <v>3.7062398041589999E-4</v>
      </c>
    </row>
    <row r="240" spans="1:5" x14ac:dyDescent="0.35">
      <c r="A240" t="s">
        <v>243</v>
      </c>
      <c r="C240">
        <v>3.1304094940423903E-2</v>
      </c>
      <c r="D240">
        <v>5.7094228395726532E-5</v>
      </c>
      <c r="E240">
        <v>2.3893809702710001E-4</v>
      </c>
    </row>
    <row r="241" spans="1:5" x14ac:dyDescent="0.35">
      <c r="A241" t="s">
        <v>244</v>
      </c>
      <c r="B241">
        <v>1892.212646484375</v>
      </c>
      <c r="C241">
        <v>2.6592157781124101E-2</v>
      </c>
      <c r="D241">
        <v>4.4161759433336563E-5</v>
      </c>
      <c r="E241">
        <v>2.2118123888500001E-4</v>
      </c>
    </row>
    <row r="242" spans="1:5" x14ac:dyDescent="0.35">
      <c r="A242" t="s">
        <v>245</v>
      </c>
      <c r="D242">
        <v>4.4595795770874247E-5</v>
      </c>
      <c r="E242">
        <v>2.8288472094570001E-4</v>
      </c>
    </row>
    <row r="243" spans="1:5" x14ac:dyDescent="0.35">
      <c r="A243" t="s">
        <v>246</v>
      </c>
      <c r="C243">
        <v>2.90848389267921E-2</v>
      </c>
      <c r="D243">
        <v>3.7012341636000201E-5</v>
      </c>
      <c r="E243">
        <v>3.9086930337360002E-4</v>
      </c>
    </row>
    <row r="244" spans="1:5" x14ac:dyDescent="0.35">
      <c r="A244" t="s">
        <v>247</v>
      </c>
      <c r="C244">
        <v>3.0551239848136898E-2</v>
      </c>
      <c r="D244">
        <v>3.7357065593823791E-5</v>
      </c>
      <c r="E244">
        <v>1.6302533913400001E-4</v>
      </c>
    </row>
    <row r="245" spans="1:5" x14ac:dyDescent="0.35">
      <c r="A245" t="s">
        <v>248</v>
      </c>
      <c r="C245">
        <v>2.5487089529633501E-2</v>
      </c>
      <c r="D245">
        <v>6.3445237174164504E-5</v>
      </c>
      <c r="E245">
        <v>-2.3937564401419999E-4</v>
      </c>
    </row>
    <row r="246" spans="1:5" x14ac:dyDescent="0.35">
      <c r="A246" t="s">
        <v>249</v>
      </c>
      <c r="C246">
        <v>4.2215511202812098E-2</v>
      </c>
      <c r="D246">
        <v>2.5074620498339998E-4</v>
      </c>
      <c r="E246">
        <v>-1.6139842045959089E-5</v>
      </c>
    </row>
    <row r="247" spans="1:5" x14ac:dyDescent="0.35">
      <c r="A247" t="s">
        <v>250</v>
      </c>
      <c r="C247">
        <v>2.9853377491235698E-2</v>
      </c>
      <c r="D247">
        <v>1.034011147567E-4</v>
      </c>
      <c r="E247">
        <v>5.2571832202370002E-4</v>
      </c>
    </row>
    <row r="248" spans="1:5" x14ac:dyDescent="0.35">
      <c r="A248" t="s">
        <v>251</v>
      </c>
      <c r="C248">
        <v>2.61958520859479E-2</v>
      </c>
      <c r="D248">
        <v>3.136722807539627E-5</v>
      </c>
      <c r="E248">
        <v>2.4133690749290001E-4</v>
      </c>
    </row>
    <row r="249" spans="1:5" x14ac:dyDescent="0.35">
      <c r="A249" t="s">
        <v>252</v>
      </c>
      <c r="C249">
        <v>2.9685575515031801E-2</v>
      </c>
      <c r="D249">
        <v>1.102747919503E-4</v>
      </c>
      <c r="E249">
        <v>-4.2434383067299999E-4</v>
      </c>
    </row>
    <row r="250" spans="1:5" x14ac:dyDescent="0.35">
      <c r="A250" t="s">
        <v>253</v>
      </c>
      <c r="C250">
        <v>3.7517581135034499E-2</v>
      </c>
      <c r="D250">
        <v>7.3257782787550241E-5</v>
      </c>
      <c r="E250">
        <v>-2.9913012986069998E-4</v>
      </c>
    </row>
    <row r="251" spans="1:5" x14ac:dyDescent="0.35">
      <c r="A251" t="s">
        <v>254</v>
      </c>
      <c r="B251">
        <v>1862.400634765625</v>
      </c>
      <c r="C251">
        <v>3.7172019481658901E-2</v>
      </c>
      <c r="D251">
        <v>1.2549698294599999E-4</v>
      </c>
      <c r="E251">
        <v>6.0709920944646001E-5</v>
      </c>
    </row>
    <row r="252" spans="1:5" x14ac:dyDescent="0.35">
      <c r="A252" t="s">
        <v>255</v>
      </c>
      <c r="B252">
        <v>1906.46923828125</v>
      </c>
      <c r="C252">
        <v>2.2956971079111099E-2</v>
      </c>
      <c r="D252">
        <v>5.6606833823025233E-5</v>
      </c>
      <c r="E252">
        <v>3.2937803189269998E-4</v>
      </c>
    </row>
    <row r="253" spans="1:5" x14ac:dyDescent="0.35">
      <c r="A253" t="s">
        <v>256</v>
      </c>
      <c r="B253">
        <v>1906.232299804688</v>
      </c>
      <c r="C253">
        <v>2.9847307130694299E-2</v>
      </c>
      <c r="D253">
        <v>4.0127280954038718E-5</v>
      </c>
      <c r="E253">
        <v>-3.3890805207189998E-4</v>
      </c>
    </row>
    <row r="254" spans="1:5" x14ac:dyDescent="0.35">
      <c r="A254" t="s">
        <v>257</v>
      </c>
      <c r="C254">
        <v>2.9496474191546398E-2</v>
      </c>
      <c r="D254">
        <v>3.4361612051725388E-5</v>
      </c>
      <c r="E254">
        <v>-6.1159094912E-5</v>
      </c>
    </row>
    <row r="255" spans="1:5" x14ac:dyDescent="0.35">
      <c r="A255" t="s">
        <v>258</v>
      </c>
      <c r="C255">
        <v>2.40643490105867E-2</v>
      </c>
      <c r="D255">
        <v>3.35477598127909E-5</v>
      </c>
      <c r="E255">
        <v>8.2407158333799998E-4</v>
      </c>
    </row>
    <row r="256" spans="1:5" x14ac:dyDescent="0.35">
      <c r="A256" t="s">
        <v>259</v>
      </c>
      <c r="B256">
        <v>1903.087524414062</v>
      </c>
      <c r="C256">
        <v>2.6532262563705399E-2</v>
      </c>
      <c r="D256">
        <v>8.511960186297074E-5</v>
      </c>
      <c r="E256">
        <v>1.2816998059860001E-4</v>
      </c>
    </row>
    <row r="257" spans="1:5" x14ac:dyDescent="0.35">
      <c r="A257" t="s">
        <v>260</v>
      </c>
      <c r="B257">
        <v>1899.608032226562</v>
      </c>
      <c r="C257">
        <v>2.5850899517536101E-2</v>
      </c>
      <c r="D257">
        <v>5.3409425163408741E-5</v>
      </c>
      <c r="E257">
        <v>7.8915618360042572E-5</v>
      </c>
    </row>
    <row r="258" spans="1:5" x14ac:dyDescent="0.35">
      <c r="A258" t="s">
        <v>261</v>
      </c>
      <c r="D258">
        <v>5.5011278163874522E-5</v>
      </c>
      <c r="E258">
        <v>5.9162412071600003E-4</v>
      </c>
    </row>
    <row r="259" spans="1:5" x14ac:dyDescent="0.35">
      <c r="A259" t="s">
        <v>262</v>
      </c>
      <c r="C259">
        <v>3.1792171299457501E-2</v>
      </c>
      <c r="D259">
        <v>4.352751057012938E-5</v>
      </c>
      <c r="E259">
        <v>3.9426321745849999E-4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6"/>
  <sheetViews>
    <sheetView tabSelected="1" workbookViewId="0">
      <selection activeCell="G26" sqref="G26"/>
    </sheetView>
  </sheetViews>
  <sheetFormatPr defaultRowHeight="14.5" x14ac:dyDescent="0.35"/>
  <cols>
    <col min="1" max="1" width="10.08984375" bestFit="1" customWidth="1"/>
    <col min="2" max="2" width="11.81640625" bestFit="1" customWidth="1"/>
    <col min="4" max="4" width="18.1796875" bestFit="1" customWidth="1"/>
    <col min="5" max="5" width="8.26953125" bestFit="1" customWidth="1"/>
    <col min="6" max="6" width="15.36328125" bestFit="1" customWidth="1"/>
    <col min="9" max="9" width="12.90625" bestFit="1" customWidth="1"/>
    <col min="10" max="10" width="14.54296875" bestFit="1" customWidth="1"/>
    <col min="11" max="11" width="20.81640625" bestFit="1" customWidth="1"/>
    <col min="12" max="12" width="14.54296875" bestFit="1" customWidth="1"/>
    <col min="13" max="13" width="22" bestFit="1" customWidth="1"/>
    <col min="14" max="14" width="14.54296875" bestFit="1" customWidth="1"/>
    <col min="15" max="15" width="20.81640625" bestFit="1" customWidth="1"/>
  </cols>
  <sheetData>
    <row r="1" spans="1:15" x14ac:dyDescent="0.35">
      <c r="A1" s="4" t="s">
        <v>0</v>
      </c>
      <c r="B1" s="4" t="s">
        <v>1</v>
      </c>
      <c r="J1" t="s">
        <v>271</v>
      </c>
      <c r="K1" t="s">
        <v>272</v>
      </c>
      <c r="L1" t="s">
        <v>273</v>
      </c>
      <c r="M1" t="s">
        <v>274</v>
      </c>
      <c r="N1" t="s">
        <v>277</v>
      </c>
      <c r="O1" t="s">
        <v>278</v>
      </c>
    </row>
    <row r="2" spans="1:15" x14ac:dyDescent="0.35">
      <c r="A2" t="s">
        <v>6</v>
      </c>
      <c r="B2">
        <v>1867.289428710937</v>
      </c>
      <c r="D2" t="s">
        <v>263</v>
      </c>
      <c r="E2" s="3">
        <f>MIN(B2:B32)</f>
        <v>1854.823608398437</v>
      </c>
      <c r="F2" t="s">
        <v>266</v>
      </c>
      <c r="G2">
        <f>COUNT(B2:B32)</f>
        <v>31</v>
      </c>
      <c r="J2" s="3">
        <f>(B2-$E$4)^2</f>
        <v>653.17327875525916</v>
      </c>
      <c r="K2" s="3">
        <f>SUM(J2:J32)</f>
        <v>9044.6894061411786</v>
      </c>
      <c r="L2" s="3">
        <f>((B2 - $E$4) / $E$7)^3</f>
        <v>-3.188849402323148</v>
      </c>
      <c r="M2" s="5">
        <f>SUM(L2:L32)</f>
        <v>-17.179672263172254</v>
      </c>
      <c r="N2">
        <f>((B2 - $E$4) / $E$7)^4</f>
        <v>4.6936641702978132</v>
      </c>
      <c r="O2">
        <f>SUM(N2:N32)</f>
        <v>74.128160291950635</v>
      </c>
    </row>
    <row r="3" spans="1:15" x14ac:dyDescent="0.35">
      <c r="A3" t="s">
        <v>24</v>
      </c>
      <c r="B3">
        <v>1854.823608398437</v>
      </c>
      <c r="D3" t="s">
        <v>264</v>
      </c>
      <c r="E3" s="3">
        <f>MAX(B2:B32)</f>
        <v>1923.13134765625</v>
      </c>
      <c r="F3" t="s">
        <v>267</v>
      </c>
      <c r="G3">
        <f>SUM(B2:B32)</f>
        <v>58678.247192382805</v>
      </c>
      <c r="J3" s="3">
        <f>(B3-$E$4)^2</f>
        <v>1445.7542497040042</v>
      </c>
      <c r="L3" s="3">
        <f t="shared" ref="L3:L32" si="0">((B3 - $E$4) / $E$7)^3</f>
        <v>-10.501059317504874</v>
      </c>
      <c r="N3">
        <f t="shared" ref="N3:N32" si="1">((B3 - $E$4) / $E$7)^4</f>
        <v>22.99556840394068</v>
      </c>
    </row>
    <row r="4" spans="1:15" x14ac:dyDescent="0.35">
      <c r="A4" t="s">
        <v>46</v>
      </c>
      <c r="B4">
        <v>1905.000610351562</v>
      </c>
      <c r="D4" t="s">
        <v>265</v>
      </c>
      <c r="E4" s="3">
        <f>G3/G2</f>
        <v>1892.8466836252517</v>
      </c>
      <c r="J4" s="3">
        <f t="shared" ref="J4:J32" si="2">(B4-$E$4)^2</f>
        <v>147.71793486852161</v>
      </c>
      <c r="L4" s="3">
        <f t="shared" si="0"/>
        <v>0.34295823588648805</v>
      </c>
      <c r="N4">
        <f t="shared" si="1"/>
        <v>0.24006102095178267</v>
      </c>
    </row>
    <row r="5" spans="1:15" x14ac:dyDescent="0.35">
      <c r="A5" t="s">
        <v>156</v>
      </c>
      <c r="B5">
        <v>1888.59521484375</v>
      </c>
      <c r="D5" t="s">
        <v>268</v>
      </c>
      <c r="E5" s="3">
        <f>MEDIAN(B2:B32)</f>
        <v>1895.632080078125</v>
      </c>
      <c r="J5" s="3">
        <f t="shared" si="2"/>
        <v>18.074986800083305</v>
      </c>
      <c r="L5" s="3">
        <f t="shared" si="0"/>
        <v>-1.4679402494615535E-2</v>
      </c>
      <c r="N5">
        <f t="shared" si="1"/>
        <v>3.5942739179941432E-3</v>
      </c>
    </row>
    <row r="6" spans="1:15" x14ac:dyDescent="0.35">
      <c r="A6" t="s">
        <v>158</v>
      </c>
      <c r="B6">
        <v>1887.76708984375</v>
      </c>
      <c r="D6" t="s">
        <v>269</v>
      </c>
      <c r="E6" s="2">
        <f>K2/(G2-1)</f>
        <v>301.4896468713726</v>
      </c>
      <c r="J6" s="3">
        <f t="shared" si="2"/>
        <v>25.802272985070449</v>
      </c>
      <c r="L6" s="3">
        <f t="shared" si="0"/>
        <v>-2.5036772548299144E-2</v>
      </c>
      <c r="N6">
        <f t="shared" si="1"/>
        <v>7.3243843367770123E-3</v>
      </c>
    </row>
    <row r="7" spans="1:15" x14ac:dyDescent="0.35">
      <c r="A7" t="s">
        <v>161</v>
      </c>
      <c r="B7">
        <v>1860.441650390625</v>
      </c>
      <c r="D7" t="s">
        <v>270</v>
      </c>
      <c r="E7" s="3">
        <f>SQRT(E6)</f>
        <v>17.363457226928414</v>
      </c>
      <c r="J7" s="3">
        <f t="shared" si="2"/>
        <v>1050.0861789372591</v>
      </c>
      <c r="L7" s="3">
        <f t="shared" si="0"/>
        <v>-6.5002312759178071</v>
      </c>
      <c r="N7">
        <f t="shared" si="1"/>
        <v>12.131236756364471</v>
      </c>
    </row>
    <row r="8" spans="1:15" x14ac:dyDescent="0.35">
      <c r="A8" t="s">
        <v>180</v>
      </c>
      <c r="B8">
        <v>1890.282104492188</v>
      </c>
      <c r="D8" t="s">
        <v>275</v>
      </c>
      <c r="E8" s="3">
        <f>(G2 / ((G2 - 1)*(G2 - 2)))*M2</f>
        <v>-0.61214924156131023</v>
      </c>
      <c r="F8" s="3"/>
      <c r="J8" s="3">
        <f t="shared" si="2"/>
        <v>6.5770661297458446</v>
      </c>
      <c r="L8" s="3">
        <f t="shared" si="0"/>
        <v>-3.2221051433496922E-3</v>
      </c>
      <c r="N8">
        <f t="shared" si="1"/>
        <v>4.7590428030407149E-4</v>
      </c>
    </row>
    <row r="9" spans="1:15" x14ac:dyDescent="0.35">
      <c r="A9" t="s">
        <v>187</v>
      </c>
      <c r="B9">
        <v>1865.634155273437</v>
      </c>
      <c r="D9" t="s">
        <v>276</v>
      </c>
      <c r="E9" s="3">
        <f>((G2 * (G2 + 1)) / ((G2 - 1) * (G2 - 2) * (G2 - 3))) * O2 - (3 * (G2 - 1)^2 / ((G2 - 2) * (G2 - 3)))</f>
        <v>-0.30643944952319258</v>
      </c>
      <c r="J9" s="3">
        <f t="shared" si="2"/>
        <v>740.52169929831484</v>
      </c>
      <c r="L9" s="3">
        <f t="shared" si="0"/>
        <v>-3.8494446456755802</v>
      </c>
      <c r="N9">
        <f t="shared" si="1"/>
        <v>6.0329645294791616</v>
      </c>
    </row>
    <row r="10" spans="1:15" x14ac:dyDescent="0.35">
      <c r="A10" t="s">
        <v>188</v>
      </c>
      <c r="B10">
        <v>1903.675903320312</v>
      </c>
      <c r="J10" s="3">
        <f t="shared" si="2"/>
        <v>117.2719992038835</v>
      </c>
      <c r="L10" s="3">
        <f t="shared" si="0"/>
        <v>0.24259558265980982</v>
      </c>
      <c r="N10">
        <f t="shared" si="1"/>
        <v>0.15130171528282652</v>
      </c>
    </row>
    <row r="11" spans="1:15" x14ac:dyDescent="0.35">
      <c r="A11" t="s">
        <v>189</v>
      </c>
      <c r="B11">
        <v>1887.126831054688</v>
      </c>
      <c r="J11" s="3">
        <f t="shared" si="2"/>
        <v>32.716713428984356</v>
      </c>
      <c r="L11" s="3">
        <f t="shared" si="0"/>
        <v>-3.574751855800215E-2</v>
      </c>
      <c r="N11">
        <f t="shared" si="1"/>
        <v>1.1775911515948341E-2</v>
      </c>
    </row>
    <row r="12" spans="1:15" x14ac:dyDescent="0.35">
      <c r="A12" t="s">
        <v>191</v>
      </c>
      <c r="B12">
        <v>1909.274780273437</v>
      </c>
      <c r="J12" s="3">
        <f t="shared" si="2"/>
        <v>269.88235948211951</v>
      </c>
      <c r="L12" s="3">
        <f t="shared" si="0"/>
        <v>0.84694097184050421</v>
      </c>
      <c r="N12">
        <f t="shared" si="1"/>
        <v>0.80131669395456928</v>
      </c>
    </row>
    <row r="13" spans="1:15" x14ac:dyDescent="0.35">
      <c r="A13" t="s">
        <v>196</v>
      </c>
      <c r="B13">
        <v>1923.13134765625</v>
      </c>
      <c r="J13" s="3">
        <f t="shared" si="2"/>
        <v>917.1608754704439</v>
      </c>
      <c r="L13" s="3">
        <f t="shared" si="0"/>
        <v>5.3059075140505358</v>
      </c>
      <c r="N13">
        <f t="shared" si="1"/>
        <v>9.2543566838385658</v>
      </c>
    </row>
    <row r="14" spans="1:15" x14ac:dyDescent="0.35">
      <c r="A14" t="s">
        <v>197</v>
      </c>
      <c r="B14">
        <v>1887.672973632812</v>
      </c>
      <c r="J14" s="3">
        <f t="shared" si="2"/>
        <v>26.767275085869638</v>
      </c>
      <c r="L14" s="3">
        <f t="shared" si="0"/>
        <v>-2.6454383106296584E-2</v>
      </c>
      <c r="N14">
        <f t="shared" si="1"/>
        <v>7.8824916277968927E-3</v>
      </c>
    </row>
    <row r="15" spans="1:15" x14ac:dyDescent="0.35">
      <c r="A15" t="s">
        <v>201</v>
      </c>
      <c r="B15">
        <v>1884.319580078125</v>
      </c>
      <c r="J15" s="3">
        <f t="shared" si="2"/>
        <v>72.71149490342026</v>
      </c>
      <c r="L15" s="3">
        <f t="shared" si="0"/>
        <v>-0.11843934738179815</v>
      </c>
      <c r="N15">
        <f t="shared" si="1"/>
        <v>5.8164947566571548E-2</v>
      </c>
    </row>
    <row r="16" spans="1:15" x14ac:dyDescent="0.35">
      <c r="A16" t="s">
        <v>206</v>
      </c>
      <c r="B16">
        <v>1914.169921875</v>
      </c>
      <c r="J16" s="3">
        <f t="shared" si="2"/>
        <v>454.68048945553016</v>
      </c>
      <c r="L16" s="3">
        <f t="shared" si="0"/>
        <v>1.8520421806403058</v>
      </c>
      <c r="N16">
        <f t="shared" si="1"/>
        <v>2.2744051573514144</v>
      </c>
    </row>
    <row r="17" spans="1:14" x14ac:dyDescent="0.35">
      <c r="A17" t="s">
        <v>207</v>
      </c>
      <c r="B17">
        <v>1911.460083007812</v>
      </c>
      <c r="J17" s="3">
        <f t="shared" si="2"/>
        <v>346.45863657469891</v>
      </c>
      <c r="L17" s="3">
        <f t="shared" si="0"/>
        <v>1.2318802239253397</v>
      </c>
      <c r="N17">
        <f t="shared" si="1"/>
        <v>1.3205595118372899</v>
      </c>
    </row>
    <row r="18" spans="1:14" x14ac:dyDescent="0.35">
      <c r="A18" t="s">
        <v>208</v>
      </c>
      <c r="B18">
        <v>1911.16748046875</v>
      </c>
      <c r="J18" s="3">
        <f t="shared" si="2"/>
        <v>335.6515969807383</v>
      </c>
      <c r="L18" s="3">
        <f t="shared" si="0"/>
        <v>1.1746932469758027</v>
      </c>
      <c r="N18">
        <f t="shared" si="1"/>
        <v>1.2394603246349114</v>
      </c>
    </row>
    <row r="19" spans="1:14" x14ac:dyDescent="0.35">
      <c r="A19" t="s">
        <v>211</v>
      </c>
      <c r="B19">
        <v>1904.148803710937</v>
      </c>
      <c r="J19" s="3">
        <f t="shared" si="2"/>
        <v>127.73791843125277</v>
      </c>
      <c r="L19" s="3">
        <f t="shared" si="0"/>
        <v>0.27578532157724284</v>
      </c>
      <c r="N19">
        <f t="shared" si="1"/>
        <v>0.17951256950726191</v>
      </c>
    </row>
    <row r="20" spans="1:14" x14ac:dyDescent="0.35">
      <c r="A20" t="s">
        <v>212</v>
      </c>
      <c r="B20">
        <v>1910.8740234375</v>
      </c>
      <c r="J20" s="3">
        <f t="shared" si="2"/>
        <v>324.98498070627363</v>
      </c>
      <c r="L20" s="3">
        <f t="shared" si="0"/>
        <v>1.1191449282567683</v>
      </c>
      <c r="N20">
        <f t="shared" si="1"/>
        <v>1.1619348414986144</v>
      </c>
    </row>
    <row r="21" spans="1:14" x14ac:dyDescent="0.35">
      <c r="A21" t="s">
        <v>213</v>
      </c>
      <c r="B21">
        <v>1885.61474609375</v>
      </c>
      <c r="J21" s="3">
        <f t="shared" si="2"/>
        <v>52.300920459542489</v>
      </c>
      <c r="L21" s="3">
        <f t="shared" si="0"/>
        <v>-7.2252918418006032E-2</v>
      </c>
      <c r="N21">
        <f t="shared" si="1"/>
        <v>3.0093580191929394E-2</v>
      </c>
    </row>
    <row r="22" spans="1:14" x14ac:dyDescent="0.35">
      <c r="A22" t="s">
        <v>217</v>
      </c>
      <c r="B22">
        <v>1895.632080078125</v>
      </c>
      <c r="J22" s="3">
        <f t="shared" si="2"/>
        <v>7.7584333996793209</v>
      </c>
      <c r="L22" s="3">
        <f t="shared" si="0"/>
        <v>4.1281212990726627E-3</v>
      </c>
      <c r="N22">
        <f t="shared" si="1"/>
        <v>6.622214846496847E-4</v>
      </c>
    </row>
    <row r="23" spans="1:14" x14ac:dyDescent="0.35">
      <c r="A23" t="s">
        <v>218</v>
      </c>
      <c r="B23">
        <v>1897.868041992188</v>
      </c>
      <c r="J23" s="3">
        <f t="shared" si="2"/>
        <v>25.214039849201018</v>
      </c>
      <c r="L23" s="3">
        <f t="shared" si="0"/>
        <v>2.4185498743721272E-2</v>
      </c>
      <c r="N23">
        <f t="shared" si="1"/>
        <v>6.9942324784817737E-3</v>
      </c>
    </row>
    <row r="24" spans="1:14" x14ac:dyDescent="0.35">
      <c r="A24" t="s">
        <v>233</v>
      </c>
      <c r="B24">
        <v>1899.917236328125</v>
      </c>
      <c r="J24" s="3">
        <f t="shared" si="2"/>
        <v>49.992715524109336</v>
      </c>
      <c r="L24" s="3">
        <f t="shared" si="0"/>
        <v>6.7522962260249592E-2</v>
      </c>
      <c r="N24">
        <f t="shared" si="1"/>
        <v>2.7495944907492232E-2</v>
      </c>
    </row>
    <row r="25" spans="1:14" x14ac:dyDescent="0.35">
      <c r="A25" t="s">
        <v>234</v>
      </c>
      <c r="B25">
        <v>1887.519287109375</v>
      </c>
      <c r="J25" s="3">
        <f t="shared" si="2"/>
        <v>28.381153637374897</v>
      </c>
      <c r="L25" s="3">
        <f t="shared" si="0"/>
        <v>-2.8882611752185958E-2</v>
      </c>
      <c r="N25">
        <f t="shared" si="1"/>
        <v>8.8616640803182625E-3</v>
      </c>
    </row>
    <row r="26" spans="1:14" x14ac:dyDescent="0.35">
      <c r="A26" t="s">
        <v>239</v>
      </c>
      <c r="B26">
        <v>1874.829833984375</v>
      </c>
      <c r="J26" s="3">
        <f t="shared" si="2"/>
        <v>324.60687098195785</v>
      </c>
      <c r="L26" s="3">
        <f t="shared" si="0"/>
        <v>-1.1171923619921411</v>
      </c>
      <c r="N26">
        <f t="shared" si="1"/>
        <v>1.1592326656428749</v>
      </c>
    </row>
    <row r="27" spans="1:14" x14ac:dyDescent="0.35">
      <c r="A27" t="s">
        <v>244</v>
      </c>
      <c r="B27">
        <v>1892.212646484375</v>
      </c>
      <c r="J27" s="3">
        <f t="shared" si="2"/>
        <v>0.40200309601106404</v>
      </c>
      <c r="L27" s="3">
        <f t="shared" si="0"/>
        <v>-4.8689519879856511E-5</v>
      </c>
      <c r="N27">
        <f t="shared" si="1"/>
        <v>1.7779272625157458E-6</v>
      </c>
    </row>
    <row r="28" spans="1:14" x14ac:dyDescent="0.35">
      <c r="A28" t="s">
        <v>254</v>
      </c>
      <c r="B28">
        <v>1862.400634765625</v>
      </c>
      <c r="J28" s="3">
        <f t="shared" si="2"/>
        <v>926.96189116277458</v>
      </c>
      <c r="L28" s="3">
        <f t="shared" si="0"/>
        <v>-5.3911847557692978</v>
      </c>
      <c r="N28">
        <f t="shared" si="1"/>
        <v>9.4532023398466265</v>
      </c>
    </row>
    <row r="29" spans="1:14" x14ac:dyDescent="0.35">
      <c r="A29" t="s">
        <v>255</v>
      </c>
      <c r="B29">
        <v>1906.46923828125</v>
      </c>
      <c r="J29" s="3">
        <f t="shared" si="2"/>
        <v>185.57399535566174</v>
      </c>
      <c r="L29" s="3">
        <f t="shared" si="0"/>
        <v>0.48291097151450341</v>
      </c>
      <c r="N29">
        <f t="shared" si="1"/>
        <v>0.37886931257187795</v>
      </c>
    </row>
    <row r="30" spans="1:14" x14ac:dyDescent="0.35">
      <c r="A30" t="s">
        <v>256</v>
      </c>
      <c r="B30">
        <v>1906.232299804688</v>
      </c>
      <c r="J30" s="3">
        <f t="shared" si="2"/>
        <v>179.17472050318639</v>
      </c>
      <c r="L30" s="3">
        <f t="shared" si="0"/>
        <v>0.45814874249942356</v>
      </c>
      <c r="N30">
        <f t="shared" si="1"/>
        <v>0.35319021667400541</v>
      </c>
    </row>
    <row r="31" spans="1:14" x14ac:dyDescent="0.35">
      <c r="A31" t="s">
        <v>259</v>
      </c>
      <c r="B31">
        <v>1903.087524414062</v>
      </c>
      <c r="J31" s="3">
        <f t="shared" si="2"/>
        <v>104.87482006176228</v>
      </c>
      <c r="L31" s="3">
        <f t="shared" si="0"/>
        <v>0.20516262088773063</v>
      </c>
      <c r="N31">
        <f t="shared" si="1"/>
        <v>0.1210034216612047</v>
      </c>
    </row>
    <row r="32" spans="1:14" x14ac:dyDescent="0.35">
      <c r="A32" t="s">
        <v>260</v>
      </c>
      <c r="B32">
        <v>1899.608032226562</v>
      </c>
      <c r="J32" s="3">
        <f t="shared" si="2"/>
        <v>45.715834908441749</v>
      </c>
      <c r="L32" s="3">
        <f t="shared" si="0"/>
        <v>5.9046121915531685E-2</v>
      </c>
      <c r="N32">
        <f t="shared" si="1"/>
        <v>2.2992622299159823E-2</v>
      </c>
    </row>
    <row r="33" spans="10:14" x14ac:dyDescent="0.35">
      <c r="J33" s="3"/>
      <c r="N33" s="3"/>
    </row>
    <row r="34" spans="10:14" x14ac:dyDescent="0.35">
      <c r="J34" s="3"/>
    </row>
    <row r="35" spans="10:14" x14ac:dyDescent="0.35">
      <c r="J35" s="3"/>
    </row>
    <row r="36" spans="10:14" x14ac:dyDescent="0.35">
      <c r="J36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0"/>
  <sheetViews>
    <sheetView workbookViewId="0">
      <selection activeCell="D2" sqref="D2:G7"/>
    </sheetView>
  </sheetViews>
  <sheetFormatPr defaultRowHeight="14.5" x14ac:dyDescent="0.35"/>
  <cols>
    <col min="1" max="1" width="10.08984375" bestFit="1" customWidth="1"/>
    <col min="2" max="2" width="11.81640625" bestFit="1" customWidth="1"/>
    <col min="5" max="5" width="6.26953125" bestFit="1" customWidth="1"/>
  </cols>
  <sheetData>
    <row r="1" spans="1:5" x14ac:dyDescent="0.35">
      <c r="A1" s="1" t="s">
        <v>0</v>
      </c>
      <c r="B1" s="1" t="s">
        <v>2</v>
      </c>
    </row>
    <row r="2" spans="1:5" x14ac:dyDescent="0.35">
      <c r="A2" t="s">
        <v>5</v>
      </c>
      <c r="B2">
        <v>3.7918452173471402E-2</v>
      </c>
      <c r="E2" s="3"/>
    </row>
    <row r="3" spans="1:5" x14ac:dyDescent="0.35">
      <c r="A3" t="s">
        <v>6</v>
      </c>
      <c r="B3">
        <v>2.8239663690328501E-2</v>
      </c>
      <c r="E3" s="3"/>
    </row>
    <row r="4" spans="1:5" x14ac:dyDescent="0.35">
      <c r="A4" t="s">
        <v>8</v>
      </c>
      <c r="B4">
        <v>3.4187458455562501E-2</v>
      </c>
      <c r="E4" s="3"/>
    </row>
    <row r="5" spans="1:5" x14ac:dyDescent="0.35">
      <c r="A5" t="s">
        <v>9</v>
      </c>
      <c r="B5">
        <v>2.7449695393443101E-2</v>
      </c>
      <c r="E5" s="3"/>
    </row>
    <row r="6" spans="1:5" x14ac:dyDescent="0.35">
      <c r="A6" t="s">
        <v>10</v>
      </c>
      <c r="B6">
        <v>2.38408725708723E-2</v>
      </c>
      <c r="E6" s="2"/>
    </row>
    <row r="7" spans="1:5" x14ac:dyDescent="0.35">
      <c r="A7" t="s">
        <v>11</v>
      </c>
      <c r="B7">
        <v>2.6330703869461999E-2</v>
      </c>
      <c r="E7" s="3"/>
    </row>
    <row r="8" spans="1:5" x14ac:dyDescent="0.35">
      <c r="A8" t="s">
        <v>12</v>
      </c>
      <c r="B8">
        <v>2.7549641206860501E-2</v>
      </c>
    </row>
    <row r="9" spans="1:5" x14ac:dyDescent="0.35">
      <c r="A9" t="s">
        <v>13</v>
      </c>
      <c r="B9">
        <v>2.3487672209739598E-2</v>
      </c>
    </row>
    <row r="10" spans="1:5" x14ac:dyDescent="0.35">
      <c r="A10" t="s">
        <v>14</v>
      </c>
      <c r="B10">
        <v>2.5976773351430799E-2</v>
      </c>
    </row>
    <row r="11" spans="1:5" x14ac:dyDescent="0.35">
      <c r="A11" t="s">
        <v>15</v>
      </c>
      <c r="B11">
        <v>2.3833392187952902E-2</v>
      </c>
    </row>
    <row r="12" spans="1:5" x14ac:dyDescent="0.35">
      <c r="A12" t="s">
        <v>16</v>
      </c>
      <c r="B12">
        <v>2.9989233240485101E-2</v>
      </c>
    </row>
    <row r="13" spans="1:5" x14ac:dyDescent="0.35">
      <c r="A13" t="s">
        <v>18</v>
      </c>
      <c r="B13">
        <v>2.92877703905105E-2</v>
      </c>
    </row>
    <row r="14" spans="1:5" x14ac:dyDescent="0.35">
      <c r="A14" t="s">
        <v>20</v>
      </c>
      <c r="B14">
        <v>2.6994796469807601E-2</v>
      </c>
    </row>
    <row r="15" spans="1:5" x14ac:dyDescent="0.35">
      <c r="A15" t="s">
        <v>21</v>
      </c>
      <c r="B15">
        <v>1.76567398011684E-2</v>
      </c>
    </row>
    <row r="16" spans="1:5" x14ac:dyDescent="0.35">
      <c r="A16" t="s">
        <v>24</v>
      </c>
      <c r="B16">
        <v>2.90243215858936E-2</v>
      </c>
    </row>
    <row r="17" spans="1:2" x14ac:dyDescent="0.35">
      <c r="A17" t="s">
        <v>25</v>
      </c>
      <c r="B17">
        <v>2.3230222985148399E-2</v>
      </c>
    </row>
    <row r="18" spans="1:2" x14ac:dyDescent="0.35">
      <c r="A18" t="s">
        <v>26</v>
      </c>
      <c r="B18">
        <v>2.8325650840997599E-2</v>
      </c>
    </row>
    <row r="19" spans="1:2" x14ac:dyDescent="0.35">
      <c r="A19" t="s">
        <v>27</v>
      </c>
      <c r="B19">
        <v>3.00608240067958E-2</v>
      </c>
    </row>
    <row r="20" spans="1:2" x14ac:dyDescent="0.35">
      <c r="A20" t="s">
        <v>29</v>
      </c>
      <c r="B20">
        <v>2.6376156136393498E-2</v>
      </c>
    </row>
    <row r="21" spans="1:2" x14ac:dyDescent="0.35">
      <c r="A21" t="s">
        <v>30</v>
      </c>
      <c r="B21">
        <v>2.85316295921802E-2</v>
      </c>
    </row>
    <row r="22" spans="1:2" x14ac:dyDescent="0.35">
      <c r="A22" t="s">
        <v>31</v>
      </c>
      <c r="B22">
        <v>3.5185709595680202E-2</v>
      </c>
    </row>
    <row r="23" spans="1:2" x14ac:dyDescent="0.35">
      <c r="A23" t="s">
        <v>32</v>
      </c>
      <c r="B23">
        <v>4.6535134315490702E-2</v>
      </c>
    </row>
    <row r="24" spans="1:2" x14ac:dyDescent="0.35">
      <c r="A24" t="s">
        <v>33</v>
      </c>
      <c r="B24">
        <v>2.5547420606017099E-2</v>
      </c>
    </row>
    <row r="25" spans="1:2" x14ac:dyDescent="0.35">
      <c r="A25" t="s">
        <v>34</v>
      </c>
      <c r="B25">
        <v>2.7639213949441899E-2</v>
      </c>
    </row>
    <row r="26" spans="1:2" x14ac:dyDescent="0.35">
      <c r="A26" t="s">
        <v>35</v>
      </c>
      <c r="B26">
        <v>3.6658812314271899E-2</v>
      </c>
    </row>
    <row r="27" spans="1:2" x14ac:dyDescent="0.35">
      <c r="A27" t="s">
        <v>36</v>
      </c>
      <c r="B27">
        <v>3.0118923634290602E-2</v>
      </c>
    </row>
    <row r="28" spans="1:2" x14ac:dyDescent="0.35">
      <c r="A28" t="s">
        <v>37</v>
      </c>
      <c r="B28">
        <v>2.8268573805689801E-2</v>
      </c>
    </row>
    <row r="29" spans="1:2" x14ac:dyDescent="0.35">
      <c r="A29" t="s">
        <v>38</v>
      </c>
      <c r="B29">
        <v>3.0907221138477301E-2</v>
      </c>
    </row>
    <row r="30" spans="1:2" x14ac:dyDescent="0.35">
      <c r="A30" t="s">
        <v>39</v>
      </c>
      <c r="B30">
        <v>3.3205050975084298E-2</v>
      </c>
    </row>
    <row r="31" spans="1:2" x14ac:dyDescent="0.35">
      <c r="A31" t="s">
        <v>40</v>
      </c>
      <c r="B31">
        <v>3.2707087695598602E-2</v>
      </c>
    </row>
    <row r="32" spans="1:2" x14ac:dyDescent="0.35">
      <c r="A32" t="s">
        <v>41</v>
      </c>
      <c r="B32">
        <v>3.2199986279010703E-2</v>
      </c>
    </row>
    <row r="33" spans="1:2" x14ac:dyDescent="0.35">
      <c r="A33" t="s">
        <v>42</v>
      </c>
      <c r="B33">
        <v>3.4365653991699198E-2</v>
      </c>
    </row>
    <row r="34" spans="1:2" x14ac:dyDescent="0.35">
      <c r="A34" t="s">
        <v>43</v>
      </c>
      <c r="B34">
        <v>4.1779834777116699E-2</v>
      </c>
    </row>
    <row r="35" spans="1:2" x14ac:dyDescent="0.35">
      <c r="A35" t="s">
        <v>44</v>
      </c>
      <c r="B35">
        <v>3.6530666053295101E-2</v>
      </c>
    </row>
    <row r="36" spans="1:2" x14ac:dyDescent="0.35">
      <c r="A36" t="s">
        <v>45</v>
      </c>
      <c r="B36">
        <v>4.0541946887969901E-2</v>
      </c>
    </row>
    <row r="37" spans="1:2" x14ac:dyDescent="0.35">
      <c r="A37" t="s">
        <v>46</v>
      </c>
      <c r="B37">
        <v>3.7074372172355603E-2</v>
      </c>
    </row>
    <row r="38" spans="1:2" x14ac:dyDescent="0.35">
      <c r="A38" t="s">
        <v>47</v>
      </c>
      <c r="B38">
        <v>3.2592270523309701E-2</v>
      </c>
    </row>
    <row r="39" spans="1:2" x14ac:dyDescent="0.35">
      <c r="A39" t="s">
        <v>48</v>
      </c>
      <c r="B39">
        <v>2.8115686029195699E-2</v>
      </c>
    </row>
    <row r="40" spans="1:2" x14ac:dyDescent="0.35">
      <c r="A40" t="s">
        <v>50</v>
      </c>
      <c r="B40">
        <v>2.9535211622714899E-2</v>
      </c>
    </row>
    <row r="41" spans="1:2" x14ac:dyDescent="0.35">
      <c r="A41" t="s">
        <v>51</v>
      </c>
      <c r="B41">
        <v>2.9461666941642699E-2</v>
      </c>
    </row>
    <row r="42" spans="1:2" x14ac:dyDescent="0.35">
      <c r="A42" t="s">
        <v>52</v>
      </c>
      <c r="B42">
        <v>2.9573839157819699E-2</v>
      </c>
    </row>
    <row r="43" spans="1:2" x14ac:dyDescent="0.35">
      <c r="A43" t="s">
        <v>54</v>
      </c>
      <c r="B43">
        <v>3.3227942883968298E-2</v>
      </c>
    </row>
    <row r="44" spans="1:2" x14ac:dyDescent="0.35">
      <c r="A44" t="s">
        <v>55</v>
      </c>
      <c r="B44">
        <v>3.2150190323591198E-2</v>
      </c>
    </row>
    <row r="45" spans="1:2" x14ac:dyDescent="0.35">
      <c r="A45" t="s">
        <v>57</v>
      </c>
      <c r="B45">
        <v>2.82913763076066E-2</v>
      </c>
    </row>
    <row r="46" spans="1:2" x14ac:dyDescent="0.35">
      <c r="A46" t="s">
        <v>58</v>
      </c>
      <c r="B46">
        <v>2.7853839099407099E-2</v>
      </c>
    </row>
    <row r="47" spans="1:2" x14ac:dyDescent="0.35">
      <c r="A47" t="s">
        <v>59</v>
      </c>
      <c r="B47">
        <v>2.7327526360750198E-2</v>
      </c>
    </row>
    <row r="48" spans="1:2" x14ac:dyDescent="0.35">
      <c r="A48" t="s">
        <v>62</v>
      </c>
      <c r="B48">
        <v>2.8331035748124098E-2</v>
      </c>
    </row>
    <row r="49" spans="1:2" x14ac:dyDescent="0.35">
      <c r="A49" t="s">
        <v>63</v>
      </c>
      <c r="B49">
        <v>3.1462945044040597E-2</v>
      </c>
    </row>
    <row r="50" spans="1:2" x14ac:dyDescent="0.35">
      <c r="A50" t="s">
        <v>64</v>
      </c>
      <c r="B50">
        <v>2.2789210081100401E-2</v>
      </c>
    </row>
    <row r="51" spans="1:2" x14ac:dyDescent="0.35">
      <c r="A51" t="s">
        <v>66</v>
      </c>
      <c r="B51">
        <v>2.9944935813546101E-2</v>
      </c>
    </row>
    <row r="52" spans="1:2" x14ac:dyDescent="0.35">
      <c r="A52" t="s">
        <v>68</v>
      </c>
      <c r="B52">
        <v>3.1706504523754099E-2</v>
      </c>
    </row>
    <row r="53" spans="1:2" x14ac:dyDescent="0.35">
      <c r="A53" t="s">
        <v>69</v>
      </c>
      <c r="B53">
        <v>3.4083530306816101E-2</v>
      </c>
    </row>
    <row r="54" spans="1:2" x14ac:dyDescent="0.35">
      <c r="A54" t="s">
        <v>70</v>
      </c>
      <c r="B54">
        <v>2.7025423943996402E-2</v>
      </c>
    </row>
    <row r="55" spans="1:2" x14ac:dyDescent="0.35">
      <c r="A55" t="s">
        <v>71</v>
      </c>
      <c r="B55">
        <v>2.56563927978277E-2</v>
      </c>
    </row>
    <row r="56" spans="1:2" x14ac:dyDescent="0.35">
      <c r="A56" t="s">
        <v>73</v>
      </c>
      <c r="B56">
        <v>3.2690223306417403E-2</v>
      </c>
    </row>
    <row r="57" spans="1:2" x14ac:dyDescent="0.35">
      <c r="A57" t="s">
        <v>74</v>
      </c>
      <c r="B57">
        <v>2.95860189944505E-2</v>
      </c>
    </row>
    <row r="58" spans="1:2" x14ac:dyDescent="0.35">
      <c r="A58" t="s">
        <v>75</v>
      </c>
      <c r="B58">
        <v>3.3180888742208398E-2</v>
      </c>
    </row>
    <row r="59" spans="1:2" x14ac:dyDescent="0.35">
      <c r="A59" t="s">
        <v>77</v>
      </c>
      <c r="B59">
        <v>3.3088881522416999E-2</v>
      </c>
    </row>
    <row r="60" spans="1:2" x14ac:dyDescent="0.35">
      <c r="A60" t="s">
        <v>78</v>
      </c>
      <c r="B60">
        <v>3.05946189910173E-2</v>
      </c>
    </row>
    <row r="61" spans="1:2" x14ac:dyDescent="0.35">
      <c r="A61" t="s">
        <v>79</v>
      </c>
      <c r="B61">
        <v>2.7581177651882099E-2</v>
      </c>
    </row>
    <row r="62" spans="1:2" x14ac:dyDescent="0.35">
      <c r="A62" t="s">
        <v>80</v>
      </c>
      <c r="B62">
        <v>2.83499155193567E-2</v>
      </c>
    </row>
    <row r="63" spans="1:2" x14ac:dyDescent="0.35">
      <c r="A63" t="s">
        <v>81</v>
      </c>
      <c r="B63">
        <v>2.3295409977436E-2</v>
      </c>
    </row>
    <row r="64" spans="1:2" x14ac:dyDescent="0.35">
      <c r="A64" t="s">
        <v>83</v>
      </c>
      <c r="B64">
        <v>3.03539559245109E-2</v>
      </c>
    </row>
    <row r="65" spans="1:2" x14ac:dyDescent="0.35">
      <c r="A65" t="s">
        <v>85</v>
      </c>
      <c r="B65">
        <v>3.0211500823497699E-2</v>
      </c>
    </row>
    <row r="66" spans="1:2" x14ac:dyDescent="0.35">
      <c r="A66" t="s">
        <v>87</v>
      </c>
      <c r="B66">
        <v>2.6647994294762601E-2</v>
      </c>
    </row>
    <row r="67" spans="1:2" x14ac:dyDescent="0.35">
      <c r="A67" t="s">
        <v>88</v>
      </c>
      <c r="B67">
        <v>2.71243844181299E-2</v>
      </c>
    </row>
    <row r="68" spans="1:2" x14ac:dyDescent="0.35">
      <c r="A68" t="s">
        <v>91</v>
      </c>
      <c r="B68">
        <v>3.0165521427988999E-2</v>
      </c>
    </row>
    <row r="69" spans="1:2" x14ac:dyDescent="0.35">
      <c r="A69" t="s">
        <v>92</v>
      </c>
      <c r="B69">
        <v>2.4658987298607798E-2</v>
      </c>
    </row>
    <row r="70" spans="1:2" x14ac:dyDescent="0.35">
      <c r="A70" t="s">
        <v>93</v>
      </c>
      <c r="B70">
        <v>2.86986827850341E-2</v>
      </c>
    </row>
    <row r="71" spans="1:2" x14ac:dyDescent="0.35">
      <c r="A71" t="s">
        <v>94</v>
      </c>
      <c r="B71">
        <v>2.4566881358623501E-2</v>
      </c>
    </row>
    <row r="72" spans="1:2" x14ac:dyDescent="0.35">
      <c r="A72" t="s">
        <v>95</v>
      </c>
      <c r="B72">
        <v>2.65142004936933E-2</v>
      </c>
    </row>
    <row r="73" spans="1:2" x14ac:dyDescent="0.35">
      <c r="A73" t="s">
        <v>96</v>
      </c>
      <c r="B73">
        <v>2.84068156033754E-2</v>
      </c>
    </row>
    <row r="74" spans="1:2" x14ac:dyDescent="0.35">
      <c r="A74" t="s">
        <v>97</v>
      </c>
      <c r="B74">
        <v>2.9979247599840102E-2</v>
      </c>
    </row>
    <row r="75" spans="1:2" x14ac:dyDescent="0.35">
      <c r="A75" t="s">
        <v>98</v>
      </c>
      <c r="B75">
        <v>2.9071729630231798E-2</v>
      </c>
    </row>
    <row r="76" spans="1:2" x14ac:dyDescent="0.35">
      <c r="A76" t="s">
        <v>99</v>
      </c>
      <c r="B76">
        <v>3.32155339419841E-2</v>
      </c>
    </row>
    <row r="77" spans="1:2" x14ac:dyDescent="0.35">
      <c r="A77" t="s">
        <v>100</v>
      </c>
      <c r="B77">
        <v>2.95811910182237E-2</v>
      </c>
    </row>
    <row r="78" spans="1:2" x14ac:dyDescent="0.35">
      <c r="A78" t="s">
        <v>101</v>
      </c>
      <c r="B78">
        <v>3.0511906370520502E-2</v>
      </c>
    </row>
    <row r="79" spans="1:2" x14ac:dyDescent="0.35">
      <c r="A79" t="s">
        <v>102</v>
      </c>
      <c r="B79">
        <v>3.11947837471961E-2</v>
      </c>
    </row>
    <row r="80" spans="1:2" x14ac:dyDescent="0.35">
      <c r="A80" t="s">
        <v>103</v>
      </c>
      <c r="B80">
        <v>2.6988964527845299E-2</v>
      </c>
    </row>
    <row r="81" spans="1:2" x14ac:dyDescent="0.35">
      <c r="A81" t="s">
        <v>104</v>
      </c>
      <c r="B81">
        <v>3.2149121165275497E-2</v>
      </c>
    </row>
    <row r="82" spans="1:2" x14ac:dyDescent="0.35">
      <c r="A82" t="s">
        <v>108</v>
      </c>
      <c r="B82">
        <v>2.7098428457975301E-2</v>
      </c>
    </row>
    <row r="83" spans="1:2" x14ac:dyDescent="0.35">
      <c r="A83" t="s">
        <v>109</v>
      </c>
      <c r="B83">
        <v>2.5630544871091801E-2</v>
      </c>
    </row>
    <row r="84" spans="1:2" x14ac:dyDescent="0.35">
      <c r="A84" t="s">
        <v>111</v>
      </c>
      <c r="B84">
        <v>2.5964383035898202E-2</v>
      </c>
    </row>
    <row r="85" spans="1:2" x14ac:dyDescent="0.35">
      <c r="A85" t="s">
        <v>112</v>
      </c>
      <c r="B85">
        <v>2.49710995703935E-2</v>
      </c>
    </row>
    <row r="86" spans="1:2" x14ac:dyDescent="0.35">
      <c r="A86" t="s">
        <v>113</v>
      </c>
      <c r="B86">
        <v>2.7489924803376101E-2</v>
      </c>
    </row>
    <row r="87" spans="1:2" x14ac:dyDescent="0.35">
      <c r="A87" t="s">
        <v>114</v>
      </c>
      <c r="B87">
        <v>3.2770842313766403E-2</v>
      </c>
    </row>
    <row r="88" spans="1:2" x14ac:dyDescent="0.35">
      <c r="A88" t="s">
        <v>115</v>
      </c>
      <c r="B88">
        <v>3.3254444599151597E-2</v>
      </c>
    </row>
    <row r="89" spans="1:2" x14ac:dyDescent="0.35">
      <c r="A89" t="s">
        <v>117</v>
      </c>
      <c r="B89">
        <v>2.8197368606925E-2</v>
      </c>
    </row>
    <row r="90" spans="1:2" x14ac:dyDescent="0.35">
      <c r="A90" t="s">
        <v>118</v>
      </c>
      <c r="B90">
        <v>2.74016056209802E-2</v>
      </c>
    </row>
    <row r="91" spans="1:2" x14ac:dyDescent="0.35">
      <c r="A91" t="s">
        <v>119</v>
      </c>
      <c r="B91">
        <v>3.0455337837338399E-2</v>
      </c>
    </row>
    <row r="92" spans="1:2" x14ac:dyDescent="0.35">
      <c r="A92" t="s">
        <v>120</v>
      </c>
      <c r="B92">
        <v>3.2420959323644603E-2</v>
      </c>
    </row>
    <row r="93" spans="1:2" x14ac:dyDescent="0.35">
      <c r="A93" t="s">
        <v>121</v>
      </c>
      <c r="B93">
        <v>2.8874764218926399E-2</v>
      </c>
    </row>
    <row r="94" spans="1:2" x14ac:dyDescent="0.35">
      <c r="A94" t="s">
        <v>123</v>
      </c>
      <c r="B94">
        <v>2.8109500184655099E-2</v>
      </c>
    </row>
    <row r="95" spans="1:2" x14ac:dyDescent="0.35">
      <c r="A95" t="s">
        <v>124</v>
      </c>
      <c r="B95">
        <v>2.1083798259496599E-2</v>
      </c>
    </row>
    <row r="96" spans="1:2" x14ac:dyDescent="0.35">
      <c r="A96" t="s">
        <v>125</v>
      </c>
      <c r="B96">
        <v>2.7717834338545799E-2</v>
      </c>
    </row>
    <row r="97" spans="1:2" x14ac:dyDescent="0.35">
      <c r="A97" t="s">
        <v>127</v>
      </c>
      <c r="B97">
        <v>2.96491533517837E-2</v>
      </c>
    </row>
    <row r="98" spans="1:2" x14ac:dyDescent="0.35">
      <c r="A98" t="s">
        <v>128</v>
      </c>
      <c r="B98">
        <v>2.9239913448691299E-2</v>
      </c>
    </row>
    <row r="99" spans="1:2" x14ac:dyDescent="0.35">
      <c r="A99" t="s">
        <v>129</v>
      </c>
      <c r="B99">
        <v>2.66098957508802E-2</v>
      </c>
    </row>
    <row r="100" spans="1:2" x14ac:dyDescent="0.35">
      <c r="A100" t="s">
        <v>131</v>
      </c>
      <c r="B100">
        <v>3.0363259837031299E-2</v>
      </c>
    </row>
    <row r="101" spans="1:2" x14ac:dyDescent="0.35">
      <c r="A101" t="s">
        <v>132</v>
      </c>
      <c r="B101">
        <v>2.6098484173417001E-2</v>
      </c>
    </row>
    <row r="102" spans="1:2" x14ac:dyDescent="0.35">
      <c r="A102" t="s">
        <v>133</v>
      </c>
      <c r="B102">
        <v>2.7424648404121399E-2</v>
      </c>
    </row>
    <row r="103" spans="1:2" x14ac:dyDescent="0.35">
      <c r="A103" t="s">
        <v>136</v>
      </c>
      <c r="B103">
        <v>2.8724450618028599E-2</v>
      </c>
    </row>
    <row r="104" spans="1:2" x14ac:dyDescent="0.35">
      <c r="A104" t="s">
        <v>140</v>
      </c>
      <c r="B104">
        <v>2.2294208407402E-2</v>
      </c>
    </row>
    <row r="105" spans="1:2" x14ac:dyDescent="0.35">
      <c r="A105" t="s">
        <v>141</v>
      </c>
      <c r="B105">
        <v>2.3960843682289099E-2</v>
      </c>
    </row>
    <row r="106" spans="1:2" x14ac:dyDescent="0.35">
      <c r="A106" t="s">
        <v>142</v>
      </c>
      <c r="B106">
        <v>2.7206428349018E-2</v>
      </c>
    </row>
    <row r="107" spans="1:2" x14ac:dyDescent="0.35">
      <c r="A107" t="s">
        <v>144</v>
      </c>
      <c r="B107">
        <v>2.60137487202882E-2</v>
      </c>
    </row>
    <row r="108" spans="1:2" x14ac:dyDescent="0.35">
      <c r="A108" t="s">
        <v>145</v>
      </c>
      <c r="B108">
        <v>3.0845481902360899E-2</v>
      </c>
    </row>
    <row r="109" spans="1:2" x14ac:dyDescent="0.35">
      <c r="A109" t="s">
        <v>146</v>
      </c>
      <c r="B109">
        <v>2.91711073368787E-2</v>
      </c>
    </row>
    <row r="110" spans="1:2" x14ac:dyDescent="0.35">
      <c r="A110" t="s">
        <v>147</v>
      </c>
      <c r="B110">
        <v>2.8422180563211399E-2</v>
      </c>
    </row>
    <row r="111" spans="1:2" x14ac:dyDescent="0.35">
      <c r="A111" t="s">
        <v>148</v>
      </c>
      <c r="B111">
        <v>2.69206259399652E-2</v>
      </c>
    </row>
    <row r="112" spans="1:2" x14ac:dyDescent="0.35">
      <c r="A112" t="s">
        <v>150</v>
      </c>
      <c r="B112">
        <v>2.9091024771332699E-2</v>
      </c>
    </row>
    <row r="113" spans="1:2" x14ac:dyDescent="0.35">
      <c r="A113" t="s">
        <v>151</v>
      </c>
      <c r="B113">
        <v>1.1331455782055799E-2</v>
      </c>
    </row>
    <row r="114" spans="1:2" x14ac:dyDescent="0.35">
      <c r="A114" t="s">
        <v>152</v>
      </c>
      <c r="B114">
        <v>2.5884108617901799E-2</v>
      </c>
    </row>
    <row r="115" spans="1:2" x14ac:dyDescent="0.35">
      <c r="A115" t="s">
        <v>153</v>
      </c>
      <c r="B115">
        <v>2.2941933944821299E-2</v>
      </c>
    </row>
    <row r="116" spans="1:2" x14ac:dyDescent="0.35">
      <c r="A116" t="s">
        <v>155</v>
      </c>
      <c r="B116">
        <v>2.4784030392765999E-2</v>
      </c>
    </row>
    <row r="117" spans="1:2" x14ac:dyDescent="0.35">
      <c r="A117" t="s">
        <v>156</v>
      </c>
      <c r="B117">
        <v>2.6353333145379999E-2</v>
      </c>
    </row>
    <row r="118" spans="1:2" x14ac:dyDescent="0.35">
      <c r="A118" t="s">
        <v>157</v>
      </c>
      <c r="B118">
        <v>3.4243222326040199E-2</v>
      </c>
    </row>
    <row r="119" spans="1:2" x14ac:dyDescent="0.35">
      <c r="A119" t="s">
        <v>158</v>
      </c>
      <c r="B119">
        <v>2.61873379349708E-2</v>
      </c>
    </row>
    <row r="120" spans="1:2" x14ac:dyDescent="0.35">
      <c r="A120" t="s">
        <v>159</v>
      </c>
      <c r="B120">
        <v>2.96415463089942E-2</v>
      </c>
    </row>
    <row r="121" spans="1:2" x14ac:dyDescent="0.35">
      <c r="A121" t="s">
        <v>160</v>
      </c>
      <c r="B121">
        <v>2.60551869869232E-2</v>
      </c>
    </row>
    <row r="122" spans="1:2" x14ac:dyDescent="0.35">
      <c r="A122" t="s">
        <v>161</v>
      </c>
      <c r="B122">
        <v>2.8876520693302099E-2</v>
      </c>
    </row>
    <row r="123" spans="1:2" x14ac:dyDescent="0.35">
      <c r="A123" t="s">
        <v>163</v>
      </c>
      <c r="B123">
        <v>2.20129787921905E-2</v>
      </c>
    </row>
    <row r="124" spans="1:2" x14ac:dyDescent="0.35">
      <c r="A124" t="s">
        <v>164</v>
      </c>
      <c r="B124">
        <v>2.6843162253499E-2</v>
      </c>
    </row>
    <row r="125" spans="1:2" x14ac:dyDescent="0.35">
      <c r="A125" t="s">
        <v>166</v>
      </c>
      <c r="B125">
        <v>2.78821382671594E-2</v>
      </c>
    </row>
    <row r="126" spans="1:2" x14ac:dyDescent="0.35">
      <c r="A126" t="s">
        <v>168</v>
      </c>
      <c r="B126">
        <v>2.8466939926147398E-2</v>
      </c>
    </row>
    <row r="127" spans="1:2" x14ac:dyDescent="0.35">
      <c r="A127" t="s">
        <v>169</v>
      </c>
      <c r="B127">
        <v>3.0955351889133401E-2</v>
      </c>
    </row>
    <row r="128" spans="1:2" x14ac:dyDescent="0.35">
      <c r="A128" t="s">
        <v>170</v>
      </c>
      <c r="B128">
        <v>2.5471029803156801E-2</v>
      </c>
    </row>
    <row r="129" spans="1:2" x14ac:dyDescent="0.35">
      <c r="A129" t="s">
        <v>172</v>
      </c>
      <c r="B129">
        <v>3.4032374620437601E-2</v>
      </c>
    </row>
    <row r="130" spans="1:2" x14ac:dyDescent="0.35">
      <c r="A130" t="s">
        <v>173</v>
      </c>
      <c r="B130">
        <v>3.5107314586639397E-2</v>
      </c>
    </row>
    <row r="131" spans="1:2" x14ac:dyDescent="0.35">
      <c r="A131" t="s">
        <v>174</v>
      </c>
      <c r="B131">
        <v>3.0864300206303499E-2</v>
      </c>
    </row>
    <row r="132" spans="1:2" x14ac:dyDescent="0.35">
      <c r="A132" t="s">
        <v>175</v>
      </c>
      <c r="B132">
        <v>3.1630631536245297E-2</v>
      </c>
    </row>
    <row r="133" spans="1:2" x14ac:dyDescent="0.35">
      <c r="A133" t="s">
        <v>176</v>
      </c>
      <c r="B133">
        <v>3.0455660074949199E-2</v>
      </c>
    </row>
    <row r="134" spans="1:2" x14ac:dyDescent="0.35">
      <c r="A134" t="s">
        <v>177</v>
      </c>
      <c r="B134">
        <v>2.4647487327456401E-2</v>
      </c>
    </row>
    <row r="135" spans="1:2" x14ac:dyDescent="0.35">
      <c r="A135" t="s">
        <v>178</v>
      </c>
      <c r="B135">
        <v>3.3227179199457099E-2</v>
      </c>
    </row>
    <row r="136" spans="1:2" x14ac:dyDescent="0.35">
      <c r="A136" t="s">
        <v>179</v>
      </c>
      <c r="B136">
        <v>2.76815500110387E-2</v>
      </c>
    </row>
    <row r="137" spans="1:2" x14ac:dyDescent="0.35">
      <c r="A137" t="s">
        <v>180</v>
      </c>
      <c r="B137">
        <v>2.8827687725424701E-2</v>
      </c>
    </row>
    <row r="138" spans="1:2" x14ac:dyDescent="0.35">
      <c r="A138" t="s">
        <v>181</v>
      </c>
      <c r="B138">
        <v>2.7356840670108701E-2</v>
      </c>
    </row>
    <row r="139" spans="1:2" x14ac:dyDescent="0.35">
      <c r="A139" t="s">
        <v>182</v>
      </c>
      <c r="B139">
        <v>3.3171050250530201E-2</v>
      </c>
    </row>
    <row r="140" spans="1:2" x14ac:dyDescent="0.35">
      <c r="A140" t="s">
        <v>184</v>
      </c>
      <c r="B140">
        <v>3.2866619527339901E-2</v>
      </c>
    </row>
    <row r="141" spans="1:2" x14ac:dyDescent="0.35">
      <c r="A141" t="s">
        <v>185</v>
      </c>
      <c r="B141">
        <v>2.7548290789127301E-2</v>
      </c>
    </row>
    <row r="142" spans="1:2" x14ac:dyDescent="0.35">
      <c r="A142" t="s">
        <v>186</v>
      </c>
      <c r="B142">
        <v>2.1757563576102201E-2</v>
      </c>
    </row>
    <row r="143" spans="1:2" x14ac:dyDescent="0.35">
      <c r="A143" t="s">
        <v>187</v>
      </c>
      <c r="B143">
        <v>2.6651514694094599E-2</v>
      </c>
    </row>
    <row r="144" spans="1:2" x14ac:dyDescent="0.35">
      <c r="A144" t="s">
        <v>188</v>
      </c>
      <c r="B144">
        <v>2.4124246090650499E-2</v>
      </c>
    </row>
    <row r="145" spans="1:2" x14ac:dyDescent="0.35">
      <c r="A145" t="s">
        <v>189</v>
      </c>
      <c r="B145">
        <v>3.3778522163629497E-2</v>
      </c>
    </row>
    <row r="146" spans="1:2" x14ac:dyDescent="0.35">
      <c r="A146" t="s">
        <v>190</v>
      </c>
      <c r="B146">
        <v>3.2988011837005601E-2</v>
      </c>
    </row>
    <row r="147" spans="1:2" x14ac:dyDescent="0.35">
      <c r="A147" t="s">
        <v>191</v>
      </c>
      <c r="B147">
        <v>3.2194729894399601E-2</v>
      </c>
    </row>
    <row r="148" spans="1:2" x14ac:dyDescent="0.35">
      <c r="A148" t="s">
        <v>193</v>
      </c>
      <c r="B148">
        <v>2.9067786410450901E-2</v>
      </c>
    </row>
    <row r="149" spans="1:2" x14ac:dyDescent="0.35">
      <c r="A149" t="s">
        <v>194</v>
      </c>
      <c r="B149">
        <v>2.6578823104500701E-2</v>
      </c>
    </row>
    <row r="150" spans="1:2" x14ac:dyDescent="0.35">
      <c r="A150" t="s">
        <v>195</v>
      </c>
      <c r="B150">
        <v>2.7911582961678501E-2</v>
      </c>
    </row>
    <row r="151" spans="1:2" x14ac:dyDescent="0.35">
      <c r="A151" t="s">
        <v>196</v>
      </c>
      <c r="B151">
        <v>2.7495145797729399E-2</v>
      </c>
    </row>
    <row r="152" spans="1:2" x14ac:dyDescent="0.35">
      <c r="A152" t="s">
        <v>197</v>
      </c>
      <c r="B152">
        <v>3.0803412199020299E-2</v>
      </c>
    </row>
    <row r="153" spans="1:2" x14ac:dyDescent="0.35">
      <c r="A153" t="s">
        <v>198</v>
      </c>
      <c r="B153">
        <v>3.3583529293537098E-2</v>
      </c>
    </row>
    <row r="154" spans="1:2" x14ac:dyDescent="0.35">
      <c r="A154" t="s">
        <v>199</v>
      </c>
      <c r="B154">
        <v>2.9080655425786899E-2</v>
      </c>
    </row>
    <row r="155" spans="1:2" x14ac:dyDescent="0.35">
      <c r="A155" t="s">
        <v>200</v>
      </c>
      <c r="B155">
        <v>2.55302749574184E-2</v>
      </c>
    </row>
    <row r="156" spans="1:2" x14ac:dyDescent="0.35">
      <c r="A156" t="s">
        <v>201</v>
      </c>
      <c r="B156">
        <v>3.11086233705282E-2</v>
      </c>
    </row>
    <row r="157" spans="1:2" x14ac:dyDescent="0.35">
      <c r="A157" t="s">
        <v>202</v>
      </c>
      <c r="B157">
        <v>2.30365693569183E-2</v>
      </c>
    </row>
    <row r="158" spans="1:2" x14ac:dyDescent="0.35">
      <c r="A158" t="s">
        <v>203</v>
      </c>
      <c r="B158">
        <v>2.6376491412520402E-2</v>
      </c>
    </row>
    <row r="159" spans="1:2" x14ac:dyDescent="0.35">
      <c r="A159" t="s">
        <v>204</v>
      </c>
      <c r="B159">
        <v>2.5280892848968499E-2</v>
      </c>
    </row>
    <row r="160" spans="1:2" x14ac:dyDescent="0.35">
      <c r="A160" t="s">
        <v>206</v>
      </c>
      <c r="B160">
        <v>2.8444470837712201E-2</v>
      </c>
    </row>
    <row r="161" spans="1:2" x14ac:dyDescent="0.35">
      <c r="A161" t="s">
        <v>207</v>
      </c>
      <c r="B161">
        <v>1.9385209307074502E-2</v>
      </c>
    </row>
    <row r="162" spans="1:2" x14ac:dyDescent="0.35">
      <c r="A162" t="s">
        <v>209</v>
      </c>
      <c r="B162">
        <v>3.1868312507867799E-2</v>
      </c>
    </row>
    <row r="163" spans="1:2" x14ac:dyDescent="0.35">
      <c r="A163" t="s">
        <v>210</v>
      </c>
      <c r="B163">
        <v>2.7163043618202199E-2</v>
      </c>
    </row>
    <row r="164" spans="1:2" x14ac:dyDescent="0.35">
      <c r="A164" t="s">
        <v>211</v>
      </c>
      <c r="B164">
        <v>2.5620257481932598E-2</v>
      </c>
    </row>
    <row r="165" spans="1:2" x14ac:dyDescent="0.35">
      <c r="A165" t="s">
        <v>212</v>
      </c>
      <c r="B165">
        <v>2.4597344920039101E-2</v>
      </c>
    </row>
    <row r="166" spans="1:2" x14ac:dyDescent="0.35">
      <c r="A166" t="s">
        <v>214</v>
      </c>
      <c r="B166">
        <v>3.2318759709596599E-2</v>
      </c>
    </row>
    <row r="167" spans="1:2" x14ac:dyDescent="0.35">
      <c r="A167" t="s">
        <v>215</v>
      </c>
      <c r="B167">
        <v>3.2010961323976503E-2</v>
      </c>
    </row>
    <row r="168" spans="1:2" x14ac:dyDescent="0.35">
      <c r="A168" t="s">
        <v>216</v>
      </c>
      <c r="B168">
        <v>2.57071256637573E-2</v>
      </c>
    </row>
    <row r="169" spans="1:2" x14ac:dyDescent="0.35">
      <c r="A169" t="s">
        <v>217</v>
      </c>
      <c r="B169">
        <v>2.87140551954507E-2</v>
      </c>
    </row>
    <row r="170" spans="1:2" x14ac:dyDescent="0.35">
      <c r="A170" t="s">
        <v>218</v>
      </c>
      <c r="B170">
        <v>2.6942186057567499E-2</v>
      </c>
    </row>
    <row r="171" spans="1:2" x14ac:dyDescent="0.35">
      <c r="A171" t="s">
        <v>220</v>
      </c>
      <c r="B171">
        <v>3.0544824898242898E-2</v>
      </c>
    </row>
    <row r="172" spans="1:2" x14ac:dyDescent="0.35">
      <c r="A172" t="s">
        <v>221</v>
      </c>
      <c r="B172">
        <v>3.3590383827686303E-2</v>
      </c>
    </row>
    <row r="173" spans="1:2" x14ac:dyDescent="0.35">
      <c r="A173" t="s">
        <v>222</v>
      </c>
      <c r="B173">
        <v>3.0857015401124899E-2</v>
      </c>
    </row>
    <row r="174" spans="1:2" x14ac:dyDescent="0.35">
      <c r="A174" t="s">
        <v>223</v>
      </c>
      <c r="B174">
        <v>2.46313586831092E-2</v>
      </c>
    </row>
    <row r="175" spans="1:2" x14ac:dyDescent="0.35">
      <c r="A175" t="s">
        <v>224</v>
      </c>
      <c r="B175">
        <v>2.5048790499567899E-2</v>
      </c>
    </row>
    <row r="176" spans="1:2" x14ac:dyDescent="0.35">
      <c r="A176" t="s">
        <v>225</v>
      </c>
      <c r="B176">
        <v>2.71784532815217E-2</v>
      </c>
    </row>
    <row r="177" spans="1:2" x14ac:dyDescent="0.35">
      <c r="A177" t="s">
        <v>226</v>
      </c>
      <c r="B177">
        <v>3.07617988437414E-2</v>
      </c>
    </row>
    <row r="178" spans="1:2" x14ac:dyDescent="0.35">
      <c r="A178" t="s">
        <v>227</v>
      </c>
      <c r="B178">
        <v>2.9230343177914599E-2</v>
      </c>
    </row>
    <row r="179" spans="1:2" x14ac:dyDescent="0.35">
      <c r="A179" t="s">
        <v>228</v>
      </c>
      <c r="B179">
        <v>2.9554059728979998E-2</v>
      </c>
    </row>
    <row r="180" spans="1:2" x14ac:dyDescent="0.35">
      <c r="A180" t="s">
        <v>229</v>
      </c>
      <c r="B180">
        <v>3.0485263094305898E-2</v>
      </c>
    </row>
    <row r="181" spans="1:2" x14ac:dyDescent="0.35">
      <c r="A181" t="s">
        <v>230</v>
      </c>
      <c r="B181">
        <v>3.6986701190471601E-2</v>
      </c>
    </row>
    <row r="182" spans="1:2" x14ac:dyDescent="0.35">
      <c r="A182" t="s">
        <v>231</v>
      </c>
      <c r="B182">
        <v>3.7696588784456198E-2</v>
      </c>
    </row>
    <row r="183" spans="1:2" x14ac:dyDescent="0.35">
      <c r="A183" t="s">
        <v>232</v>
      </c>
      <c r="B183">
        <v>3.0808482319116499E-2</v>
      </c>
    </row>
    <row r="184" spans="1:2" x14ac:dyDescent="0.35">
      <c r="A184" t="s">
        <v>233</v>
      </c>
      <c r="B184">
        <v>2.69742645323276E-2</v>
      </c>
    </row>
    <row r="185" spans="1:2" x14ac:dyDescent="0.35">
      <c r="A185" t="s">
        <v>234</v>
      </c>
      <c r="B185">
        <v>2.80641950666904E-2</v>
      </c>
    </row>
    <row r="186" spans="1:2" x14ac:dyDescent="0.35">
      <c r="A186" t="s">
        <v>236</v>
      </c>
      <c r="B186">
        <v>3.19150052964687E-2</v>
      </c>
    </row>
    <row r="187" spans="1:2" x14ac:dyDescent="0.35">
      <c r="A187" t="s">
        <v>237</v>
      </c>
      <c r="B187">
        <v>3.6681327968835803E-2</v>
      </c>
    </row>
    <row r="188" spans="1:2" x14ac:dyDescent="0.35">
      <c r="A188" t="s">
        <v>238</v>
      </c>
      <c r="B188">
        <v>3.6226224154233898E-2</v>
      </c>
    </row>
    <row r="189" spans="1:2" x14ac:dyDescent="0.35">
      <c r="A189" t="s">
        <v>239</v>
      </c>
      <c r="B189">
        <v>3.3034965395927401E-2</v>
      </c>
    </row>
    <row r="190" spans="1:2" x14ac:dyDescent="0.35">
      <c r="A190" t="s">
        <v>240</v>
      </c>
      <c r="B190">
        <v>2.7767194435000399E-2</v>
      </c>
    </row>
    <row r="191" spans="1:2" x14ac:dyDescent="0.35">
      <c r="A191" t="s">
        <v>241</v>
      </c>
      <c r="B191">
        <v>3.0729703605175001E-2</v>
      </c>
    </row>
    <row r="192" spans="1:2" x14ac:dyDescent="0.35">
      <c r="A192" t="s">
        <v>242</v>
      </c>
      <c r="B192">
        <v>2.2557068616151799E-2</v>
      </c>
    </row>
    <row r="193" spans="1:2" x14ac:dyDescent="0.35">
      <c r="A193" t="s">
        <v>243</v>
      </c>
      <c r="B193">
        <v>3.1304094940423903E-2</v>
      </c>
    </row>
    <row r="194" spans="1:2" x14ac:dyDescent="0.35">
      <c r="A194" t="s">
        <v>244</v>
      </c>
      <c r="B194">
        <v>2.6592157781124101E-2</v>
      </c>
    </row>
    <row r="195" spans="1:2" x14ac:dyDescent="0.35">
      <c r="A195" t="s">
        <v>246</v>
      </c>
      <c r="B195">
        <v>2.90848389267921E-2</v>
      </c>
    </row>
    <row r="196" spans="1:2" x14ac:dyDescent="0.35">
      <c r="A196" t="s">
        <v>247</v>
      </c>
      <c r="B196">
        <v>3.0551239848136898E-2</v>
      </c>
    </row>
    <row r="197" spans="1:2" x14ac:dyDescent="0.35">
      <c r="A197" t="s">
        <v>248</v>
      </c>
      <c r="B197">
        <v>2.5487089529633501E-2</v>
      </c>
    </row>
    <row r="198" spans="1:2" x14ac:dyDescent="0.35">
      <c r="A198" t="s">
        <v>249</v>
      </c>
      <c r="B198">
        <v>4.2215511202812098E-2</v>
      </c>
    </row>
    <row r="199" spans="1:2" x14ac:dyDescent="0.35">
      <c r="A199" t="s">
        <v>250</v>
      </c>
      <c r="B199">
        <v>2.9853377491235698E-2</v>
      </c>
    </row>
    <row r="200" spans="1:2" x14ac:dyDescent="0.35">
      <c r="A200" t="s">
        <v>251</v>
      </c>
      <c r="B200">
        <v>2.61958520859479E-2</v>
      </c>
    </row>
    <row r="201" spans="1:2" x14ac:dyDescent="0.35">
      <c r="A201" t="s">
        <v>252</v>
      </c>
      <c r="B201">
        <v>2.9685575515031801E-2</v>
      </c>
    </row>
    <row r="202" spans="1:2" x14ac:dyDescent="0.35">
      <c r="A202" t="s">
        <v>253</v>
      </c>
      <c r="B202">
        <v>3.7517581135034499E-2</v>
      </c>
    </row>
    <row r="203" spans="1:2" x14ac:dyDescent="0.35">
      <c r="A203" t="s">
        <v>254</v>
      </c>
      <c r="B203">
        <v>3.7172019481658901E-2</v>
      </c>
    </row>
    <row r="204" spans="1:2" x14ac:dyDescent="0.35">
      <c r="A204" t="s">
        <v>255</v>
      </c>
      <c r="B204">
        <v>2.2956971079111099E-2</v>
      </c>
    </row>
    <row r="205" spans="1:2" x14ac:dyDescent="0.35">
      <c r="A205" t="s">
        <v>256</v>
      </c>
      <c r="B205">
        <v>2.9847307130694299E-2</v>
      </c>
    </row>
    <row r="206" spans="1:2" x14ac:dyDescent="0.35">
      <c r="A206" t="s">
        <v>257</v>
      </c>
      <c r="B206">
        <v>2.9496474191546398E-2</v>
      </c>
    </row>
    <row r="207" spans="1:2" x14ac:dyDescent="0.35">
      <c r="A207" t="s">
        <v>258</v>
      </c>
      <c r="B207">
        <v>2.40643490105867E-2</v>
      </c>
    </row>
    <row r="208" spans="1:2" x14ac:dyDescent="0.35">
      <c r="A208" t="s">
        <v>259</v>
      </c>
      <c r="B208">
        <v>2.6532262563705399E-2</v>
      </c>
    </row>
    <row r="209" spans="1:2" x14ac:dyDescent="0.35">
      <c r="A209" t="s">
        <v>260</v>
      </c>
      <c r="B209">
        <v>2.5850899517536101E-2</v>
      </c>
    </row>
    <row r="210" spans="1:2" x14ac:dyDescent="0.35">
      <c r="A210" t="s">
        <v>262</v>
      </c>
      <c r="B210">
        <v>3.1792171299457501E-2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8"/>
  <sheetViews>
    <sheetView workbookViewId="0"/>
  </sheetViews>
  <sheetFormatPr defaultRowHeight="14.5" x14ac:dyDescent="0.35"/>
  <cols>
    <col min="1" max="1" width="10.08984375" bestFit="1" customWidth="1"/>
    <col min="2" max="2" width="12.453125" bestFit="1" customWidth="1"/>
  </cols>
  <sheetData>
    <row r="1" spans="1:2" x14ac:dyDescent="0.35">
      <c r="A1" s="1" t="s">
        <v>0</v>
      </c>
      <c r="B1" s="1" t="s">
        <v>3</v>
      </c>
    </row>
    <row r="2" spans="1:2" x14ac:dyDescent="0.35">
      <c r="A2" t="s">
        <v>5</v>
      </c>
      <c r="B2">
        <v>9.6467032562941326E-5</v>
      </c>
    </row>
    <row r="3" spans="1:2" x14ac:dyDescent="0.35">
      <c r="A3" t="s">
        <v>6</v>
      </c>
      <c r="B3">
        <v>4.6442881284747273E-5</v>
      </c>
    </row>
    <row r="4" spans="1:2" x14ac:dyDescent="0.35">
      <c r="A4" t="s">
        <v>7</v>
      </c>
      <c r="B4">
        <v>6.822789873695001E-5</v>
      </c>
    </row>
    <row r="5" spans="1:2" x14ac:dyDescent="0.35">
      <c r="A5" t="s">
        <v>9</v>
      </c>
      <c r="B5">
        <v>6.0107740864623338E-5</v>
      </c>
    </row>
    <row r="6" spans="1:2" x14ac:dyDescent="0.35">
      <c r="A6" t="s">
        <v>10</v>
      </c>
      <c r="B6">
        <v>8.1563171988818794E-5</v>
      </c>
    </row>
    <row r="7" spans="1:2" x14ac:dyDescent="0.35">
      <c r="A7" t="s">
        <v>11</v>
      </c>
      <c r="B7">
        <v>3.2386014936491847E-5</v>
      </c>
    </row>
    <row r="8" spans="1:2" x14ac:dyDescent="0.35">
      <c r="A8" t="s">
        <v>12</v>
      </c>
      <c r="B8">
        <v>2.2077210815041329E-5</v>
      </c>
    </row>
    <row r="9" spans="1:2" x14ac:dyDescent="0.35">
      <c r="A9" t="s">
        <v>13</v>
      </c>
      <c r="B9">
        <v>4.5435735955834389E-5</v>
      </c>
    </row>
    <row r="10" spans="1:2" x14ac:dyDescent="0.35">
      <c r="A10" t="s">
        <v>14</v>
      </c>
      <c r="B10">
        <v>2.148273415514268E-5</v>
      </c>
    </row>
    <row r="11" spans="1:2" x14ac:dyDescent="0.35">
      <c r="A11" t="s">
        <v>15</v>
      </c>
      <c r="B11">
        <v>7.869069668231532E-5</v>
      </c>
    </row>
    <row r="12" spans="1:2" x14ac:dyDescent="0.35">
      <c r="A12" t="s">
        <v>16</v>
      </c>
      <c r="B12">
        <v>6.0423932154662907E-5</v>
      </c>
    </row>
    <row r="13" spans="1:2" x14ac:dyDescent="0.35">
      <c r="A13" t="s">
        <v>17</v>
      </c>
      <c r="B13">
        <v>3.9507351175416261E-5</v>
      </c>
    </row>
    <row r="14" spans="1:2" x14ac:dyDescent="0.35">
      <c r="A14" t="s">
        <v>19</v>
      </c>
      <c r="B14">
        <v>4.8660705942893401E-5</v>
      </c>
    </row>
    <row r="15" spans="1:2" x14ac:dyDescent="0.35">
      <c r="A15" t="s">
        <v>21</v>
      </c>
      <c r="B15">
        <v>6.452338129747659E-5</v>
      </c>
    </row>
    <row r="16" spans="1:2" x14ac:dyDescent="0.35">
      <c r="A16" t="s">
        <v>22</v>
      </c>
      <c r="B16">
        <v>3.931847822968848E-5</v>
      </c>
    </row>
    <row r="17" spans="1:2" x14ac:dyDescent="0.35">
      <c r="A17" t="s">
        <v>23</v>
      </c>
      <c r="B17">
        <v>3.7898553273407742E-5</v>
      </c>
    </row>
    <row r="18" spans="1:2" x14ac:dyDescent="0.35">
      <c r="A18" t="s">
        <v>24</v>
      </c>
      <c r="B18">
        <v>5.685467112925835E-5</v>
      </c>
    </row>
    <row r="19" spans="1:2" x14ac:dyDescent="0.35">
      <c r="A19" t="s">
        <v>25</v>
      </c>
      <c r="B19">
        <v>4.7684367018518969E-5</v>
      </c>
    </row>
    <row r="20" spans="1:2" x14ac:dyDescent="0.35">
      <c r="A20" t="s">
        <v>26</v>
      </c>
      <c r="B20">
        <v>6.7848144681192935E-5</v>
      </c>
    </row>
    <row r="21" spans="1:2" x14ac:dyDescent="0.35">
      <c r="A21" t="s">
        <v>27</v>
      </c>
      <c r="B21">
        <v>8.3990715211257339E-5</v>
      </c>
    </row>
    <row r="22" spans="1:2" x14ac:dyDescent="0.35">
      <c r="A22" t="s">
        <v>29</v>
      </c>
      <c r="B22">
        <v>6.7211811256129295E-5</v>
      </c>
    </row>
    <row r="23" spans="1:2" x14ac:dyDescent="0.35">
      <c r="A23" t="s">
        <v>30</v>
      </c>
      <c r="B23">
        <v>3.6771387385670102E-5</v>
      </c>
    </row>
    <row r="24" spans="1:2" x14ac:dyDescent="0.35">
      <c r="A24" t="s">
        <v>31</v>
      </c>
      <c r="B24">
        <v>4.1204676381310001E-4</v>
      </c>
    </row>
    <row r="25" spans="1:2" x14ac:dyDescent="0.35">
      <c r="A25" t="s">
        <v>32</v>
      </c>
      <c r="B25">
        <v>6.3134444644669997E-4</v>
      </c>
    </row>
    <row r="26" spans="1:2" x14ac:dyDescent="0.35">
      <c r="A26" t="s">
        <v>33</v>
      </c>
      <c r="B26">
        <v>6.4872438088059425E-5</v>
      </c>
    </row>
    <row r="27" spans="1:2" x14ac:dyDescent="0.35">
      <c r="A27" t="s">
        <v>34</v>
      </c>
      <c r="B27">
        <v>4.752714085043408E-5</v>
      </c>
    </row>
    <row r="28" spans="1:2" x14ac:dyDescent="0.35">
      <c r="A28" t="s">
        <v>35</v>
      </c>
      <c r="B28">
        <v>3.3779542718548328E-5</v>
      </c>
    </row>
    <row r="29" spans="1:2" x14ac:dyDescent="0.35">
      <c r="A29" t="s">
        <v>36</v>
      </c>
      <c r="B29">
        <v>4.1814655560301617E-5</v>
      </c>
    </row>
    <row r="30" spans="1:2" x14ac:dyDescent="0.35">
      <c r="A30" t="s">
        <v>37</v>
      </c>
      <c r="B30">
        <v>6.9459187216125429E-5</v>
      </c>
    </row>
    <row r="31" spans="1:2" x14ac:dyDescent="0.35">
      <c r="A31" t="s">
        <v>38</v>
      </c>
      <c r="B31">
        <v>1.136809732997E-4</v>
      </c>
    </row>
    <row r="32" spans="1:2" x14ac:dyDescent="0.35">
      <c r="A32" t="s">
        <v>39</v>
      </c>
      <c r="B32">
        <v>7.4463408964220434E-5</v>
      </c>
    </row>
    <row r="33" spans="1:2" x14ac:dyDescent="0.35">
      <c r="A33" t="s">
        <v>40</v>
      </c>
      <c r="B33">
        <v>3.1327723263530061E-5</v>
      </c>
    </row>
    <row r="34" spans="1:2" x14ac:dyDescent="0.35">
      <c r="A34" t="s">
        <v>41</v>
      </c>
      <c r="B34">
        <v>5.518067700904794E-5</v>
      </c>
    </row>
    <row r="35" spans="1:2" x14ac:dyDescent="0.35">
      <c r="A35" t="s">
        <v>42</v>
      </c>
      <c r="B35">
        <v>8.7079824879765511E-5</v>
      </c>
    </row>
    <row r="36" spans="1:2" x14ac:dyDescent="0.35">
      <c r="A36" t="s">
        <v>43</v>
      </c>
      <c r="B36">
        <v>1.493558374932E-4</v>
      </c>
    </row>
    <row r="37" spans="1:2" x14ac:dyDescent="0.35">
      <c r="A37" t="s">
        <v>45</v>
      </c>
      <c r="B37">
        <v>1.4810053107789999E-4</v>
      </c>
    </row>
    <row r="38" spans="1:2" x14ac:dyDescent="0.35">
      <c r="A38" t="s">
        <v>46</v>
      </c>
      <c r="B38">
        <v>1.083911120076E-4</v>
      </c>
    </row>
    <row r="39" spans="1:2" x14ac:dyDescent="0.35">
      <c r="A39" t="s">
        <v>49</v>
      </c>
      <c r="B39">
        <v>-1.0082445669468141E-6</v>
      </c>
    </row>
    <row r="40" spans="1:2" x14ac:dyDescent="0.35">
      <c r="A40" t="s">
        <v>50</v>
      </c>
      <c r="B40">
        <v>7.6013478974346071E-5</v>
      </c>
    </row>
    <row r="41" spans="1:2" x14ac:dyDescent="0.35">
      <c r="A41" t="s">
        <v>51</v>
      </c>
      <c r="B41">
        <v>4.2828316509258002E-5</v>
      </c>
    </row>
    <row r="42" spans="1:2" x14ac:dyDescent="0.35">
      <c r="A42" t="s">
        <v>52</v>
      </c>
      <c r="B42">
        <v>2.0721830878756009E-5</v>
      </c>
    </row>
    <row r="43" spans="1:2" x14ac:dyDescent="0.35">
      <c r="A43" t="s">
        <v>54</v>
      </c>
      <c r="B43">
        <v>7.5826188549399376E-5</v>
      </c>
    </row>
    <row r="44" spans="1:2" x14ac:dyDescent="0.35">
      <c r="A44" t="s">
        <v>55</v>
      </c>
      <c r="B44">
        <v>2.9642175650220002E-4</v>
      </c>
    </row>
    <row r="45" spans="1:2" x14ac:dyDescent="0.35">
      <c r="A45" t="s">
        <v>58</v>
      </c>
      <c r="B45">
        <v>7.8264849435072392E-5</v>
      </c>
    </row>
    <row r="46" spans="1:2" x14ac:dyDescent="0.35">
      <c r="A46" t="s">
        <v>61</v>
      </c>
      <c r="B46">
        <v>7.3698814958333969E-5</v>
      </c>
    </row>
    <row r="47" spans="1:2" x14ac:dyDescent="0.35">
      <c r="A47" t="s">
        <v>63</v>
      </c>
      <c r="B47">
        <v>6.9870809966232628E-5</v>
      </c>
    </row>
    <row r="48" spans="1:2" x14ac:dyDescent="0.35">
      <c r="A48" t="s">
        <v>66</v>
      </c>
      <c r="B48">
        <v>4.8074776714202023E-5</v>
      </c>
    </row>
    <row r="49" spans="1:2" x14ac:dyDescent="0.35">
      <c r="A49" t="s">
        <v>71</v>
      </c>
      <c r="B49">
        <v>8.0742895079310983E-5</v>
      </c>
    </row>
    <row r="50" spans="1:2" x14ac:dyDescent="0.35">
      <c r="A50" t="s">
        <v>72</v>
      </c>
      <c r="B50">
        <v>9.2204412794671966E-5</v>
      </c>
    </row>
    <row r="51" spans="1:2" x14ac:dyDescent="0.35">
      <c r="A51" t="s">
        <v>76</v>
      </c>
      <c r="B51">
        <v>4.5491025957744569E-5</v>
      </c>
    </row>
    <row r="52" spans="1:2" x14ac:dyDescent="0.35">
      <c r="A52" t="s">
        <v>77</v>
      </c>
      <c r="B52">
        <v>4.8925983719527721E-5</v>
      </c>
    </row>
    <row r="53" spans="1:2" x14ac:dyDescent="0.35">
      <c r="A53" t="s">
        <v>79</v>
      </c>
      <c r="B53">
        <v>6.3498846429865807E-5</v>
      </c>
    </row>
    <row r="54" spans="1:2" x14ac:dyDescent="0.35">
      <c r="A54" t="s">
        <v>80</v>
      </c>
      <c r="B54">
        <v>4.2040664993692189E-5</v>
      </c>
    </row>
    <row r="55" spans="1:2" x14ac:dyDescent="0.35">
      <c r="A55" t="s">
        <v>82</v>
      </c>
      <c r="B55">
        <v>3.8485522964037962E-5</v>
      </c>
    </row>
    <row r="56" spans="1:2" x14ac:dyDescent="0.35">
      <c r="A56" t="s">
        <v>84</v>
      </c>
      <c r="B56">
        <v>3.3913082006620243E-5</v>
      </c>
    </row>
    <row r="57" spans="1:2" x14ac:dyDescent="0.35">
      <c r="A57" t="s">
        <v>87</v>
      </c>
      <c r="B57">
        <v>1.82445772225E-4</v>
      </c>
    </row>
    <row r="58" spans="1:2" x14ac:dyDescent="0.35">
      <c r="A58" t="s">
        <v>91</v>
      </c>
      <c r="B58">
        <v>7.1195361670106649E-5</v>
      </c>
    </row>
    <row r="59" spans="1:2" x14ac:dyDescent="0.35">
      <c r="A59" t="s">
        <v>93</v>
      </c>
      <c r="B59">
        <v>5.6531542213633663E-5</v>
      </c>
    </row>
    <row r="60" spans="1:2" x14ac:dyDescent="0.35">
      <c r="A60" t="s">
        <v>96</v>
      </c>
      <c r="B60">
        <v>2.016932739934418E-5</v>
      </c>
    </row>
    <row r="61" spans="1:2" x14ac:dyDescent="0.35">
      <c r="A61" t="s">
        <v>97</v>
      </c>
      <c r="B61">
        <v>3.5052678867941722E-5</v>
      </c>
    </row>
    <row r="62" spans="1:2" x14ac:dyDescent="0.35">
      <c r="A62" t="s">
        <v>99</v>
      </c>
      <c r="B62">
        <v>5.8151676057605073E-5</v>
      </c>
    </row>
    <row r="63" spans="1:2" x14ac:dyDescent="0.35">
      <c r="A63" t="s">
        <v>100</v>
      </c>
      <c r="B63">
        <v>3.5968663723906502E-5</v>
      </c>
    </row>
    <row r="64" spans="1:2" x14ac:dyDescent="0.35">
      <c r="A64" t="s">
        <v>104</v>
      </c>
      <c r="B64">
        <v>6.7564695200417191E-5</v>
      </c>
    </row>
    <row r="65" spans="1:2" x14ac:dyDescent="0.35">
      <c r="A65" t="s">
        <v>107</v>
      </c>
      <c r="B65">
        <v>7.0032903749961406E-5</v>
      </c>
    </row>
    <row r="66" spans="1:2" x14ac:dyDescent="0.35">
      <c r="A66" t="s">
        <v>108</v>
      </c>
      <c r="B66">
        <v>6.6227679781150073E-5</v>
      </c>
    </row>
    <row r="67" spans="1:2" x14ac:dyDescent="0.35">
      <c r="A67" t="s">
        <v>110</v>
      </c>
      <c r="B67">
        <v>4.2995849071303383E-5</v>
      </c>
    </row>
    <row r="68" spans="1:2" x14ac:dyDescent="0.35">
      <c r="A68" t="s">
        <v>117</v>
      </c>
      <c r="B68">
        <v>3.0951850931160152E-5</v>
      </c>
    </row>
    <row r="69" spans="1:2" x14ac:dyDescent="0.35">
      <c r="A69" t="s">
        <v>118</v>
      </c>
      <c r="B69">
        <v>5.8182737120660022E-5</v>
      </c>
    </row>
    <row r="70" spans="1:2" x14ac:dyDescent="0.35">
      <c r="A70" t="s">
        <v>119</v>
      </c>
      <c r="B70">
        <v>6.3471292378380895E-5</v>
      </c>
    </row>
    <row r="71" spans="1:2" x14ac:dyDescent="0.35">
      <c r="A71" t="s">
        <v>120</v>
      </c>
      <c r="B71">
        <v>5.4520609410246827E-5</v>
      </c>
    </row>
    <row r="72" spans="1:2" x14ac:dyDescent="0.35">
      <c r="A72" t="s">
        <v>121</v>
      </c>
      <c r="B72">
        <v>1.055628235917E-4</v>
      </c>
    </row>
    <row r="73" spans="1:2" x14ac:dyDescent="0.35">
      <c r="A73" t="s">
        <v>122</v>
      </c>
      <c r="B73">
        <v>3.818876575678587E-5</v>
      </c>
    </row>
    <row r="74" spans="1:2" x14ac:dyDescent="0.35">
      <c r="A74" t="s">
        <v>123</v>
      </c>
      <c r="B74">
        <v>1.074012689059E-4</v>
      </c>
    </row>
    <row r="75" spans="1:2" x14ac:dyDescent="0.35">
      <c r="A75" t="s">
        <v>125</v>
      </c>
      <c r="B75">
        <v>1.5777935914229602E-5</v>
      </c>
    </row>
    <row r="76" spans="1:2" x14ac:dyDescent="0.35">
      <c r="A76" t="s">
        <v>128</v>
      </c>
      <c r="B76">
        <v>7.8888158896006644E-5</v>
      </c>
    </row>
    <row r="77" spans="1:2" x14ac:dyDescent="0.35">
      <c r="A77" t="s">
        <v>129</v>
      </c>
      <c r="B77">
        <v>1.3370363740249999E-4</v>
      </c>
    </row>
    <row r="78" spans="1:2" x14ac:dyDescent="0.35">
      <c r="A78" t="s">
        <v>130</v>
      </c>
      <c r="B78">
        <v>4.9313806812278933E-5</v>
      </c>
    </row>
    <row r="79" spans="1:2" x14ac:dyDescent="0.35">
      <c r="A79" t="s">
        <v>131</v>
      </c>
      <c r="B79">
        <v>4.3483756599016488E-5</v>
      </c>
    </row>
    <row r="80" spans="1:2" x14ac:dyDescent="0.35">
      <c r="A80" t="s">
        <v>132</v>
      </c>
      <c r="B80">
        <v>2.9944485504529439E-5</v>
      </c>
    </row>
    <row r="81" spans="1:2" x14ac:dyDescent="0.35">
      <c r="A81" t="s">
        <v>133</v>
      </c>
      <c r="B81">
        <v>6.9450201408471912E-5</v>
      </c>
    </row>
    <row r="82" spans="1:2" x14ac:dyDescent="0.35">
      <c r="A82" t="s">
        <v>135</v>
      </c>
      <c r="B82">
        <v>4.9337737436871982E-5</v>
      </c>
    </row>
    <row r="83" spans="1:2" x14ac:dyDescent="0.35">
      <c r="A83" t="s">
        <v>140</v>
      </c>
      <c r="B83">
        <v>2.5576335247023959E-5</v>
      </c>
    </row>
    <row r="84" spans="1:2" x14ac:dyDescent="0.35">
      <c r="A84" t="s">
        <v>141</v>
      </c>
      <c r="B84">
        <v>4.4972606701776392E-5</v>
      </c>
    </row>
    <row r="85" spans="1:2" x14ac:dyDescent="0.35">
      <c r="A85" t="s">
        <v>142</v>
      </c>
      <c r="B85">
        <v>7.2748014645185322E-5</v>
      </c>
    </row>
    <row r="86" spans="1:2" x14ac:dyDescent="0.35">
      <c r="A86" t="s">
        <v>143</v>
      </c>
      <c r="B86">
        <v>5.0883270887425169E-5</v>
      </c>
    </row>
    <row r="87" spans="1:2" x14ac:dyDescent="0.35">
      <c r="A87" t="s">
        <v>144</v>
      </c>
      <c r="B87">
        <v>3.8653295632684603E-5</v>
      </c>
    </row>
    <row r="88" spans="1:2" x14ac:dyDescent="0.35">
      <c r="A88" t="s">
        <v>147</v>
      </c>
      <c r="B88">
        <v>1.077658380381E-4</v>
      </c>
    </row>
    <row r="89" spans="1:2" x14ac:dyDescent="0.35">
      <c r="A89" t="s">
        <v>149</v>
      </c>
      <c r="B89">
        <v>7.6467484177555889E-5</v>
      </c>
    </row>
    <row r="90" spans="1:2" x14ac:dyDescent="0.35">
      <c r="A90" t="s">
        <v>150</v>
      </c>
      <c r="B90">
        <v>9.6365081844851361E-5</v>
      </c>
    </row>
    <row r="91" spans="1:2" x14ac:dyDescent="0.35">
      <c r="A91" t="s">
        <v>151</v>
      </c>
      <c r="B91">
        <v>1.5015809913159999E-4</v>
      </c>
    </row>
    <row r="92" spans="1:2" x14ac:dyDescent="0.35">
      <c r="A92" t="s">
        <v>152</v>
      </c>
      <c r="B92">
        <v>6.0802260122727603E-5</v>
      </c>
    </row>
    <row r="93" spans="1:2" x14ac:dyDescent="0.35">
      <c r="A93" t="s">
        <v>153</v>
      </c>
      <c r="B93">
        <v>4.332737807999365E-5</v>
      </c>
    </row>
    <row r="94" spans="1:2" x14ac:dyDescent="0.35">
      <c r="A94" t="s">
        <v>154</v>
      </c>
      <c r="B94">
        <v>5.4185158660402521E-5</v>
      </c>
    </row>
    <row r="95" spans="1:2" x14ac:dyDescent="0.35">
      <c r="A95" t="s">
        <v>155</v>
      </c>
      <c r="B95">
        <v>9.0025736426468939E-5</v>
      </c>
    </row>
    <row r="96" spans="1:2" x14ac:dyDescent="0.35">
      <c r="A96" t="s">
        <v>156</v>
      </c>
      <c r="B96">
        <v>4.4717446144204587E-5</v>
      </c>
    </row>
    <row r="97" spans="1:2" x14ac:dyDescent="0.35">
      <c r="A97" t="s">
        <v>157</v>
      </c>
      <c r="B97">
        <v>4.7147896111709997E-5</v>
      </c>
    </row>
    <row r="98" spans="1:2" x14ac:dyDescent="0.35">
      <c r="A98" t="s">
        <v>158</v>
      </c>
      <c r="B98">
        <v>2.759475682978518E-5</v>
      </c>
    </row>
    <row r="99" spans="1:2" x14ac:dyDescent="0.35">
      <c r="A99" t="s">
        <v>159</v>
      </c>
      <c r="B99">
        <v>5.9402198530733592E-5</v>
      </c>
    </row>
    <row r="100" spans="1:2" x14ac:dyDescent="0.35">
      <c r="A100" t="s">
        <v>160</v>
      </c>
      <c r="B100">
        <v>1.0261763236480001E-4</v>
      </c>
    </row>
    <row r="101" spans="1:2" x14ac:dyDescent="0.35">
      <c r="A101" t="s">
        <v>161</v>
      </c>
      <c r="B101">
        <v>7.0111957029439509E-5</v>
      </c>
    </row>
    <row r="102" spans="1:2" x14ac:dyDescent="0.35">
      <c r="A102" t="s">
        <v>162</v>
      </c>
      <c r="B102">
        <v>7.9376062785740942E-5</v>
      </c>
    </row>
    <row r="103" spans="1:2" x14ac:dyDescent="0.35">
      <c r="A103" t="s">
        <v>163</v>
      </c>
      <c r="B103">
        <v>4.4489988795248792E-5</v>
      </c>
    </row>
    <row r="104" spans="1:2" x14ac:dyDescent="0.35">
      <c r="A104" t="s">
        <v>165</v>
      </c>
      <c r="B104">
        <v>1.7243824549950001E-4</v>
      </c>
    </row>
    <row r="105" spans="1:2" x14ac:dyDescent="0.35">
      <c r="A105" t="s">
        <v>167</v>
      </c>
      <c r="B105">
        <v>1.1370652646290001E-4</v>
      </c>
    </row>
    <row r="106" spans="1:2" x14ac:dyDescent="0.35">
      <c r="A106" t="s">
        <v>169</v>
      </c>
      <c r="B106">
        <v>5.5156739108497277E-5</v>
      </c>
    </row>
    <row r="107" spans="1:2" x14ac:dyDescent="0.35">
      <c r="A107" t="s">
        <v>172</v>
      </c>
      <c r="B107">
        <v>2.4388449674E-4</v>
      </c>
    </row>
    <row r="108" spans="1:2" x14ac:dyDescent="0.35">
      <c r="A108" t="s">
        <v>175</v>
      </c>
      <c r="B108">
        <v>2.4400181428059999E-4</v>
      </c>
    </row>
    <row r="109" spans="1:2" x14ac:dyDescent="0.35">
      <c r="A109" t="s">
        <v>180</v>
      </c>
      <c r="B109">
        <v>4.5877048250986263E-5</v>
      </c>
    </row>
    <row r="110" spans="1:2" x14ac:dyDescent="0.35">
      <c r="A110" t="s">
        <v>181</v>
      </c>
      <c r="B110">
        <v>6.2848594097886235E-5</v>
      </c>
    </row>
    <row r="111" spans="1:2" x14ac:dyDescent="0.35">
      <c r="A111" t="s">
        <v>182</v>
      </c>
      <c r="B111">
        <v>1.239730918314E-4</v>
      </c>
    </row>
    <row r="112" spans="1:2" x14ac:dyDescent="0.35">
      <c r="A112" t="s">
        <v>183</v>
      </c>
      <c r="B112">
        <v>6.190221756696701E-5</v>
      </c>
    </row>
    <row r="113" spans="1:2" x14ac:dyDescent="0.35">
      <c r="A113" t="s">
        <v>184</v>
      </c>
      <c r="B113">
        <v>4.2807638237718493E-5</v>
      </c>
    </row>
    <row r="114" spans="1:2" x14ac:dyDescent="0.35">
      <c r="A114" t="s">
        <v>185</v>
      </c>
      <c r="B114">
        <v>8.1765705544967204E-5</v>
      </c>
    </row>
    <row r="115" spans="1:2" x14ac:dyDescent="0.35">
      <c r="A115" t="s">
        <v>186</v>
      </c>
      <c r="B115">
        <v>5.5014850659063093E-5</v>
      </c>
    </row>
    <row r="116" spans="1:2" x14ac:dyDescent="0.35">
      <c r="A116" t="s">
        <v>187</v>
      </c>
      <c r="B116">
        <v>7.3933639214374125E-5</v>
      </c>
    </row>
    <row r="117" spans="1:2" x14ac:dyDescent="0.35">
      <c r="A117" t="s">
        <v>188</v>
      </c>
      <c r="B117">
        <v>6.9697576691396534E-5</v>
      </c>
    </row>
    <row r="118" spans="1:2" x14ac:dyDescent="0.35">
      <c r="A118" t="s">
        <v>189</v>
      </c>
      <c r="B118">
        <v>1.048271078616E-4</v>
      </c>
    </row>
    <row r="119" spans="1:2" x14ac:dyDescent="0.35">
      <c r="A119" t="s">
        <v>190</v>
      </c>
      <c r="B119">
        <v>1.067249395418E-4</v>
      </c>
    </row>
    <row r="120" spans="1:2" x14ac:dyDescent="0.35">
      <c r="A120" t="s">
        <v>191</v>
      </c>
      <c r="B120">
        <v>8.1318103184457868E-5</v>
      </c>
    </row>
    <row r="121" spans="1:2" x14ac:dyDescent="0.35">
      <c r="A121" t="s">
        <v>192</v>
      </c>
      <c r="B121">
        <v>4.1334864363307133E-5</v>
      </c>
    </row>
    <row r="122" spans="1:2" x14ac:dyDescent="0.35">
      <c r="A122" t="s">
        <v>193</v>
      </c>
      <c r="B122">
        <v>6.2085942772682756E-5</v>
      </c>
    </row>
    <row r="123" spans="1:2" x14ac:dyDescent="0.35">
      <c r="A123" t="s">
        <v>194</v>
      </c>
      <c r="B123">
        <v>5.3257743275025859E-5</v>
      </c>
    </row>
    <row r="124" spans="1:2" x14ac:dyDescent="0.35">
      <c r="A124" t="s">
        <v>195</v>
      </c>
      <c r="B124">
        <v>6.9647736381739378E-5</v>
      </c>
    </row>
    <row r="125" spans="1:2" x14ac:dyDescent="0.35">
      <c r="A125" t="s">
        <v>196</v>
      </c>
      <c r="B125">
        <v>8.4362662164494395E-5</v>
      </c>
    </row>
    <row r="126" spans="1:2" x14ac:dyDescent="0.35">
      <c r="A126" t="s">
        <v>197</v>
      </c>
      <c r="B126">
        <v>6.1795260990038514E-5</v>
      </c>
    </row>
    <row r="127" spans="1:2" x14ac:dyDescent="0.35">
      <c r="A127" t="s">
        <v>198</v>
      </c>
      <c r="B127">
        <v>2.6198122213827449E-5</v>
      </c>
    </row>
    <row r="128" spans="1:2" x14ac:dyDescent="0.35">
      <c r="A128" t="s">
        <v>199</v>
      </c>
      <c r="B128">
        <v>4.9413738452130929E-5</v>
      </c>
    </row>
    <row r="129" spans="1:2" x14ac:dyDescent="0.35">
      <c r="A129" t="s">
        <v>200</v>
      </c>
      <c r="B129">
        <v>4.1421251808060333E-5</v>
      </c>
    </row>
    <row r="130" spans="1:2" x14ac:dyDescent="0.35">
      <c r="A130" t="s">
        <v>202</v>
      </c>
      <c r="B130">
        <v>3.9151273085735738E-5</v>
      </c>
    </row>
    <row r="131" spans="1:2" x14ac:dyDescent="0.35">
      <c r="A131" t="s">
        <v>203</v>
      </c>
      <c r="B131">
        <v>7.0041678554844111E-5</v>
      </c>
    </row>
    <row r="132" spans="1:2" x14ac:dyDescent="0.35">
      <c r="A132" t="s">
        <v>204</v>
      </c>
      <c r="B132">
        <v>4.3797750549856573E-5</v>
      </c>
    </row>
    <row r="133" spans="1:2" x14ac:dyDescent="0.35">
      <c r="A133" t="s">
        <v>205</v>
      </c>
      <c r="B133">
        <v>6.0820122598670423E-5</v>
      </c>
    </row>
    <row r="134" spans="1:2" x14ac:dyDescent="0.35">
      <c r="A134" t="s">
        <v>206</v>
      </c>
      <c r="B134">
        <v>5.174425314180553E-5</v>
      </c>
    </row>
    <row r="135" spans="1:2" x14ac:dyDescent="0.35">
      <c r="A135" t="s">
        <v>207</v>
      </c>
      <c r="B135">
        <v>8.357338811038062E-5</v>
      </c>
    </row>
    <row r="136" spans="1:2" x14ac:dyDescent="0.35">
      <c r="A136" t="s">
        <v>208</v>
      </c>
      <c r="B136">
        <v>5.2566960221156478E-5</v>
      </c>
    </row>
    <row r="137" spans="1:2" x14ac:dyDescent="0.35">
      <c r="A137" t="s">
        <v>209</v>
      </c>
      <c r="B137">
        <v>1.089685247279E-4</v>
      </c>
    </row>
    <row r="138" spans="1:2" x14ac:dyDescent="0.35">
      <c r="A138" t="s">
        <v>210</v>
      </c>
      <c r="B138">
        <v>5.0296552217332653E-5</v>
      </c>
    </row>
    <row r="139" spans="1:2" x14ac:dyDescent="0.35">
      <c r="A139" t="s">
        <v>211</v>
      </c>
      <c r="B139">
        <v>7.0932605012785643E-5</v>
      </c>
    </row>
    <row r="140" spans="1:2" x14ac:dyDescent="0.35">
      <c r="A140" t="s">
        <v>212</v>
      </c>
      <c r="B140">
        <v>7.2467184509150684E-5</v>
      </c>
    </row>
    <row r="141" spans="1:2" x14ac:dyDescent="0.35">
      <c r="A141" t="s">
        <v>213</v>
      </c>
      <c r="B141">
        <v>2.8880916943307969E-5</v>
      </c>
    </row>
    <row r="142" spans="1:2" x14ac:dyDescent="0.35">
      <c r="A142" t="s">
        <v>214</v>
      </c>
      <c r="B142">
        <v>2.7596137442742471E-5</v>
      </c>
    </row>
    <row r="143" spans="1:2" x14ac:dyDescent="0.35">
      <c r="A143" t="s">
        <v>215</v>
      </c>
      <c r="B143">
        <v>6.1106700741220266E-5</v>
      </c>
    </row>
    <row r="144" spans="1:2" x14ac:dyDescent="0.35">
      <c r="A144" t="s">
        <v>216</v>
      </c>
      <c r="B144">
        <v>5.6310851505259052E-5</v>
      </c>
    </row>
    <row r="145" spans="1:2" x14ac:dyDescent="0.35">
      <c r="A145" t="s">
        <v>217</v>
      </c>
      <c r="B145">
        <v>8.3552491560112685E-5</v>
      </c>
    </row>
    <row r="146" spans="1:2" x14ac:dyDescent="0.35">
      <c r="A146" t="s">
        <v>218</v>
      </c>
      <c r="B146">
        <v>7.2559683758299798E-5</v>
      </c>
    </row>
    <row r="147" spans="1:2" x14ac:dyDescent="0.35">
      <c r="A147" t="s">
        <v>220</v>
      </c>
      <c r="B147">
        <v>5.8578498283168301E-5</v>
      </c>
    </row>
    <row r="148" spans="1:2" x14ac:dyDescent="0.35">
      <c r="A148" t="s">
        <v>221</v>
      </c>
      <c r="B148">
        <v>4.911161886411719E-5</v>
      </c>
    </row>
    <row r="149" spans="1:2" x14ac:dyDescent="0.35">
      <c r="A149" t="s">
        <v>222</v>
      </c>
      <c r="B149">
        <v>6.2196260842029005E-5</v>
      </c>
    </row>
    <row r="150" spans="1:2" x14ac:dyDescent="0.35">
      <c r="A150" t="s">
        <v>223</v>
      </c>
      <c r="B150">
        <v>6.4388623286504298E-5</v>
      </c>
    </row>
    <row r="151" spans="1:2" x14ac:dyDescent="0.35">
      <c r="A151" t="s">
        <v>224</v>
      </c>
      <c r="B151">
        <v>7.6995536801405251E-5</v>
      </c>
    </row>
    <row r="152" spans="1:2" x14ac:dyDescent="0.35">
      <c r="A152" t="s">
        <v>225</v>
      </c>
      <c r="B152">
        <v>5.0339785957476131E-5</v>
      </c>
    </row>
    <row r="153" spans="1:2" x14ac:dyDescent="0.35">
      <c r="A153" t="s">
        <v>226</v>
      </c>
      <c r="B153">
        <v>9.8872784292325377E-5</v>
      </c>
    </row>
    <row r="154" spans="1:2" x14ac:dyDescent="0.35">
      <c r="A154" t="s">
        <v>227</v>
      </c>
      <c r="B154">
        <v>1.288225466851E-4</v>
      </c>
    </row>
    <row r="155" spans="1:2" x14ac:dyDescent="0.35">
      <c r="A155" t="s">
        <v>228</v>
      </c>
      <c r="B155">
        <v>6.4779218519106507E-5</v>
      </c>
    </row>
    <row r="156" spans="1:2" x14ac:dyDescent="0.35">
      <c r="A156" t="s">
        <v>229</v>
      </c>
      <c r="B156">
        <v>1.105854898924E-4</v>
      </c>
    </row>
    <row r="157" spans="1:2" x14ac:dyDescent="0.35">
      <c r="A157" t="s">
        <v>230</v>
      </c>
      <c r="B157">
        <v>9.1462767159100622E-5</v>
      </c>
    </row>
    <row r="158" spans="1:2" x14ac:dyDescent="0.35">
      <c r="A158" t="s">
        <v>231</v>
      </c>
      <c r="B158">
        <v>1.3081067299930001E-4</v>
      </c>
    </row>
    <row r="159" spans="1:2" x14ac:dyDescent="0.35">
      <c r="A159" t="s">
        <v>232</v>
      </c>
      <c r="B159">
        <v>7.7153454185463488E-5</v>
      </c>
    </row>
    <row r="160" spans="1:2" x14ac:dyDescent="0.35">
      <c r="A160" t="s">
        <v>233</v>
      </c>
      <c r="B160">
        <v>7.4239193054381758E-5</v>
      </c>
    </row>
    <row r="161" spans="1:2" x14ac:dyDescent="0.35">
      <c r="A161" t="s">
        <v>234</v>
      </c>
      <c r="B161">
        <v>4.3645628466038033E-5</v>
      </c>
    </row>
    <row r="162" spans="1:2" x14ac:dyDescent="0.35">
      <c r="A162" t="s">
        <v>236</v>
      </c>
      <c r="B162">
        <v>2.2071355488151308E-5</v>
      </c>
    </row>
    <row r="163" spans="1:2" x14ac:dyDescent="0.35">
      <c r="A163" t="s">
        <v>237</v>
      </c>
      <c r="B163">
        <v>5.8590969274519011E-5</v>
      </c>
    </row>
    <row r="164" spans="1:2" x14ac:dyDescent="0.35">
      <c r="A164" t="s">
        <v>238</v>
      </c>
      <c r="B164">
        <v>7.2462462412659079E-5</v>
      </c>
    </row>
    <row r="165" spans="1:2" x14ac:dyDescent="0.35">
      <c r="A165" t="s">
        <v>239</v>
      </c>
      <c r="B165">
        <v>4.5368851715466008E-5</v>
      </c>
    </row>
    <row r="166" spans="1:2" x14ac:dyDescent="0.35">
      <c r="A166" t="s">
        <v>240</v>
      </c>
      <c r="B166">
        <v>4.707679909188301E-5</v>
      </c>
    </row>
    <row r="167" spans="1:2" x14ac:dyDescent="0.35">
      <c r="A167" t="s">
        <v>241</v>
      </c>
      <c r="B167">
        <v>2.3438198695657771E-5</v>
      </c>
    </row>
    <row r="168" spans="1:2" x14ac:dyDescent="0.35">
      <c r="A168" t="s">
        <v>242</v>
      </c>
      <c r="B168">
        <v>3.9660884795011953E-5</v>
      </c>
    </row>
    <row r="169" spans="1:2" x14ac:dyDescent="0.35">
      <c r="A169" t="s">
        <v>243</v>
      </c>
      <c r="B169">
        <v>5.7094228395726532E-5</v>
      </c>
    </row>
    <row r="170" spans="1:2" x14ac:dyDescent="0.35">
      <c r="A170" t="s">
        <v>244</v>
      </c>
      <c r="B170">
        <v>4.4161759433336563E-5</v>
      </c>
    </row>
    <row r="171" spans="1:2" x14ac:dyDescent="0.35">
      <c r="A171" t="s">
        <v>245</v>
      </c>
      <c r="B171">
        <v>4.4595795770874247E-5</v>
      </c>
    </row>
    <row r="172" spans="1:2" x14ac:dyDescent="0.35">
      <c r="A172" t="s">
        <v>246</v>
      </c>
      <c r="B172">
        <v>3.7012341636000201E-5</v>
      </c>
    </row>
    <row r="173" spans="1:2" x14ac:dyDescent="0.35">
      <c r="A173" t="s">
        <v>247</v>
      </c>
      <c r="B173">
        <v>3.7357065593823791E-5</v>
      </c>
    </row>
    <row r="174" spans="1:2" x14ac:dyDescent="0.35">
      <c r="A174" t="s">
        <v>248</v>
      </c>
      <c r="B174">
        <v>6.3445237174164504E-5</v>
      </c>
    </row>
    <row r="175" spans="1:2" x14ac:dyDescent="0.35">
      <c r="A175" t="s">
        <v>249</v>
      </c>
      <c r="B175">
        <v>2.5074620498339998E-4</v>
      </c>
    </row>
    <row r="176" spans="1:2" x14ac:dyDescent="0.35">
      <c r="A176" t="s">
        <v>250</v>
      </c>
      <c r="B176">
        <v>1.034011147567E-4</v>
      </c>
    </row>
    <row r="177" spans="1:2" x14ac:dyDescent="0.35">
      <c r="A177" t="s">
        <v>251</v>
      </c>
      <c r="B177">
        <v>3.136722807539627E-5</v>
      </c>
    </row>
    <row r="178" spans="1:2" x14ac:dyDescent="0.35">
      <c r="A178" t="s">
        <v>252</v>
      </c>
      <c r="B178">
        <v>1.102747919503E-4</v>
      </c>
    </row>
    <row r="179" spans="1:2" x14ac:dyDescent="0.35">
      <c r="A179" t="s">
        <v>253</v>
      </c>
      <c r="B179">
        <v>7.3257782787550241E-5</v>
      </c>
    </row>
    <row r="180" spans="1:2" x14ac:dyDescent="0.35">
      <c r="A180" t="s">
        <v>254</v>
      </c>
      <c r="B180">
        <v>1.2549698294599999E-4</v>
      </c>
    </row>
    <row r="181" spans="1:2" x14ac:dyDescent="0.35">
      <c r="A181" t="s">
        <v>255</v>
      </c>
      <c r="B181">
        <v>5.6606833823025233E-5</v>
      </c>
    </row>
    <row r="182" spans="1:2" x14ac:dyDescent="0.35">
      <c r="A182" t="s">
        <v>256</v>
      </c>
      <c r="B182">
        <v>4.0127280954038718E-5</v>
      </c>
    </row>
    <row r="183" spans="1:2" x14ac:dyDescent="0.35">
      <c r="A183" t="s">
        <v>257</v>
      </c>
      <c r="B183">
        <v>3.4361612051725388E-5</v>
      </c>
    </row>
    <row r="184" spans="1:2" x14ac:dyDescent="0.35">
      <c r="A184" t="s">
        <v>258</v>
      </c>
      <c r="B184">
        <v>3.35477598127909E-5</v>
      </c>
    </row>
    <row r="185" spans="1:2" x14ac:dyDescent="0.35">
      <c r="A185" t="s">
        <v>259</v>
      </c>
      <c r="B185">
        <v>8.511960186297074E-5</v>
      </c>
    </row>
    <row r="186" spans="1:2" x14ac:dyDescent="0.35">
      <c r="A186" t="s">
        <v>260</v>
      </c>
      <c r="B186">
        <v>5.3409425163408741E-5</v>
      </c>
    </row>
    <row r="187" spans="1:2" x14ac:dyDescent="0.35">
      <c r="A187" t="s">
        <v>261</v>
      </c>
      <c r="B187">
        <v>5.5011278163874522E-5</v>
      </c>
    </row>
    <row r="188" spans="1:2" x14ac:dyDescent="0.35">
      <c r="A188" t="s">
        <v>262</v>
      </c>
      <c r="B188">
        <v>4.352751057012938E-5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23"/>
  <sheetViews>
    <sheetView workbookViewId="0"/>
  </sheetViews>
  <sheetFormatPr defaultRowHeight="14.5" x14ac:dyDescent="0.35"/>
  <cols>
    <col min="1" max="1" width="10.08984375" bestFit="1" customWidth="1"/>
    <col min="2" max="2" width="12.453125" bestFit="1" customWidth="1"/>
  </cols>
  <sheetData>
    <row r="1" spans="1:2" x14ac:dyDescent="0.35">
      <c r="A1" s="1" t="s">
        <v>0</v>
      </c>
      <c r="B1" s="1" t="s">
        <v>4</v>
      </c>
    </row>
    <row r="2" spans="1:2" x14ac:dyDescent="0.35">
      <c r="A2" t="s">
        <v>5</v>
      </c>
      <c r="B2">
        <v>3.4663605038069998E-4</v>
      </c>
    </row>
    <row r="3" spans="1:2" x14ac:dyDescent="0.35">
      <c r="A3" t="s">
        <v>6</v>
      </c>
      <c r="B3">
        <v>8.1744452472769995E-4</v>
      </c>
    </row>
    <row r="4" spans="1:2" x14ac:dyDescent="0.35">
      <c r="A4" t="s">
        <v>7</v>
      </c>
      <c r="B4">
        <v>-7.9877756070340002E-4</v>
      </c>
    </row>
    <row r="5" spans="1:2" x14ac:dyDescent="0.35">
      <c r="A5" t="s">
        <v>8</v>
      </c>
      <c r="B5">
        <v>-5.1346997497600001E-4</v>
      </c>
    </row>
    <row r="6" spans="1:2" x14ac:dyDescent="0.35">
      <c r="A6" t="s">
        <v>9</v>
      </c>
      <c r="B6">
        <v>3.2733147963880002E-4</v>
      </c>
    </row>
    <row r="7" spans="1:2" x14ac:dyDescent="0.35">
      <c r="A7" t="s">
        <v>10</v>
      </c>
      <c r="B7">
        <v>-5.0312548410147429E-5</v>
      </c>
    </row>
    <row r="8" spans="1:2" x14ac:dyDescent="0.35">
      <c r="A8" t="s">
        <v>11</v>
      </c>
      <c r="B8">
        <v>4.1422471986149998E-4</v>
      </c>
    </row>
    <row r="9" spans="1:2" x14ac:dyDescent="0.35">
      <c r="A9" t="s">
        <v>12</v>
      </c>
      <c r="B9">
        <v>-5.3441361524160004E-4</v>
      </c>
    </row>
    <row r="10" spans="1:2" x14ac:dyDescent="0.35">
      <c r="A10" t="s">
        <v>13</v>
      </c>
      <c r="B10">
        <v>5.8351481129648157E-5</v>
      </c>
    </row>
    <row r="11" spans="1:2" x14ac:dyDescent="0.35">
      <c r="A11" t="s">
        <v>14</v>
      </c>
      <c r="B11">
        <v>3.6491683567869997E-4</v>
      </c>
    </row>
    <row r="12" spans="1:2" x14ac:dyDescent="0.35">
      <c r="A12" t="s">
        <v>15</v>
      </c>
      <c r="B12">
        <v>1.653434264881071E-5</v>
      </c>
    </row>
    <row r="13" spans="1:2" x14ac:dyDescent="0.35">
      <c r="A13" t="s">
        <v>16</v>
      </c>
      <c r="B13">
        <v>6.489308434538E-4</v>
      </c>
    </row>
    <row r="14" spans="1:2" x14ac:dyDescent="0.35">
      <c r="A14" t="s">
        <v>17</v>
      </c>
      <c r="B14">
        <v>6.9190275098662823E-5</v>
      </c>
    </row>
    <row r="15" spans="1:2" x14ac:dyDescent="0.35">
      <c r="A15" t="s">
        <v>18</v>
      </c>
      <c r="B15">
        <v>-3.4007747308349999E-4</v>
      </c>
    </row>
    <row r="16" spans="1:2" x14ac:dyDescent="0.35">
      <c r="A16" t="s">
        <v>19</v>
      </c>
      <c r="B16">
        <v>-3.102854534517E-4</v>
      </c>
    </row>
    <row r="17" spans="1:2" x14ac:dyDescent="0.35">
      <c r="A17" t="s">
        <v>20</v>
      </c>
      <c r="B17">
        <v>1.307001075474E-4</v>
      </c>
    </row>
    <row r="18" spans="1:2" x14ac:dyDescent="0.35">
      <c r="A18" t="s">
        <v>21</v>
      </c>
      <c r="B18">
        <v>-1.081802838598E-4</v>
      </c>
    </row>
    <row r="19" spans="1:2" x14ac:dyDescent="0.35">
      <c r="A19" t="s">
        <v>22</v>
      </c>
      <c r="B19">
        <v>-1.0858937166631001E-3</v>
      </c>
    </row>
    <row r="20" spans="1:2" x14ac:dyDescent="0.35">
      <c r="A20" t="s">
        <v>23</v>
      </c>
      <c r="B20">
        <v>2.1183126955289999E-4</v>
      </c>
    </row>
    <row r="21" spans="1:2" x14ac:dyDescent="0.35">
      <c r="A21" t="s">
        <v>24</v>
      </c>
      <c r="B21">
        <v>-5.3932697483105592E-5</v>
      </c>
    </row>
    <row r="22" spans="1:2" x14ac:dyDescent="0.35">
      <c r="A22" t="s">
        <v>25</v>
      </c>
      <c r="B22">
        <v>-1.2662821973200001E-4</v>
      </c>
    </row>
    <row r="23" spans="1:2" x14ac:dyDescent="0.35">
      <c r="A23" t="s">
        <v>26</v>
      </c>
      <c r="B23">
        <v>-4.7590342546754982E-6</v>
      </c>
    </row>
    <row r="24" spans="1:2" x14ac:dyDescent="0.35">
      <c r="A24" t="s">
        <v>27</v>
      </c>
      <c r="B24">
        <v>-4.4446467654770002E-4</v>
      </c>
    </row>
    <row r="25" spans="1:2" x14ac:dyDescent="0.35">
      <c r="A25" t="s">
        <v>28</v>
      </c>
      <c r="B25">
        <v>-2.696680894587189E-5</v>
      </c>
    </row>
    <row r="26" spans="1:2" x14ac:dyDescent="0.35">
      <c r="A26" t="s">
        <v>29</v>
      </c>
      <c r="B26">
        <v>1.6217536176549999E-4</v>
      </c>
    </row>
    <row r="27" spans="1:2" x14ac:dyDescent="0.35">
      <c r="A27" t="s">
        <v>30</v>
      </c>
      <c r="B27">
        <v>3.4684874117370002E-4</v>
      </c>
    </row>
    <row r="28" spans="1:2" x14ac:dyDescent="0.35">
      <c r="A28" t="s">
        <v>31</v>
      </c>
      <c r="B28">
        <v>5.5477581918229998E-4</v>
      </c>
    </row>
    <row r="29" spans="1:2" x14ac:dyDescent="0.35">
      <c r="A29" t="s">
        <v>32</v>
      </c>
      <c r="B29">
        <v>3.5423366352910001E-4</v>
      </c>
    </row>
    <row r="30" spans="1:2" x14ac:dyDescent="0.35">
      <c r="A30" t="s">
        <v>33</v>
      </c>
      <c r="B30">
        <v>3.8516704807980002E-4</v>
      </c>
    </row>
    <row r="31" spans="1:2" x14ac:dyDescent="0.35">
      <c r="A31" t="s">
        <v>34</v>
      </c>
      <c r="B31">
        <v>5.6236607633763917E-5</v>
      </c>
    </row>
    <row r="32" spans="1:2" x14ac:dyDescent="0.35">
      <c r="A32" t="s">
        <v>35</v>
      </c>
      <c r="B32">
        <v>5.9643335407589995E-4</v>
      </c>
    </row>
    <row r="33" spans="1:2" x14ac:dyDescent="0.35">
      <c r="A33" t="s">
        <v>36</v>
      </c>
      <c r="B33">
        <v>-1.50391770148417E-6</v>
      </c>
    </row>
    <row r="34" spans="1:2" x14ac:dyDescent="0.35">
      <c r="A34" t="s">
        <v>37</v>
      </c>
      <c r="B34">
        <v>2.0833239250350001E-4</v>
      </c>
    </row>
    <row r="35" spans="1:2" x14ac:dyDescent="0.35">
      <c r="A35" t="s">
        <v>38</v>
      </c>
      <c r="B35">
        <v>-3.3325757249250002E-4</v>
      </c>
    </row>
    <row r="36" spans="1:2" x14ac:dyDescent="0.35">
      <c r="A36" t="s">
        <v>39</v>
      </c>
      <c r="B36">
        <v>7.2506409196648747E-5</v>
      </c>
    </row>
    <row r="37" spans="1:2" x14ac:dyDescent="0.35">
      <c r="A37" t="s">
        <v>40</v>
      </c>
      <c r="B37">
        <v>-1.337838421022752E-5</v>
      </c>
    </row>
    <row r="38" spans="1:2" x14ac:dyDescent="0.35">
      <c r="A38" t="s">
        <v>41</v>
      </c>
      <c r="B38">
        <v>1.200983533635E-4</v>
      </c>
    </row>
    <row r="39" spans="1:2" x14ac:dyDescent="0.35">
      <c r="A39" t="s">
        <v>42</v>
      </c>
      <c r="B39">
        <v>-3.5880853829439729E-5</v>
      </c>
    </row>
    <row r="40" spans="1:2" x14ac:dyDescent="0.35">
      <c r="A40" t="s">
        <v>43</v>
      </c>
      <c r="B40">
        <v>-1.004253645078E-4</v>
      </c>
    </row>
    <row r="41" spans="1:2" x14ac:dyDescent="0.35">
      <c r="A41" t="s">
        <v>45</v>
      </c>
      <c r="B41">
        <v>-2.1769013255829999E-4</v>
      </c>
    </row>
    <row r="42" spans="1:2" x14ac:dyDescent="0.35">
      <c r="A42" t="s">
        <v>46</v>
      </c>
      <c r="B42">
        <v>1.435211452189E-4</v>
      </c>
    </row>
    <row r="43" spans="1:2" x14ac:dyDescent="0.35">
      <c r="A43" t="s">
        <v>47</v>
      </c>
      <c r="B43">
        <v>2.6097762747659999E-4</v>
      </c>
    </row>
    <row r="44" spans="1:2" x14ac:dyDescent="0.35">
      <c r="A44" t="s">
        <v>50</v>
      </c>
      <c r="B44">
        <v>-5.6005774240475148E-5</v>
      </c>
    </row>
    <row r="45" spans="1:2" x14ac:dyDescent="0.35">
      <c r="A45" t="s">
        <v>51</v>
      </c>
      <c r="B45">
        <v>-1.3175921048959999E-4</v>
      </c>
    </row>
    <row r="46" spans="1:2" x14ac:dyDescent="0.35">
      <c r="A46" t="s">
        <v>52</v>
      </c>
      <c r="B46">
        <v>-2.7106700144940991E-5</v>
      </c>
    </row>
    <row r="47" spans="1:2" x14ac:dyDescent="0.35">
      <c r="A47" t="s">
        <v>53</v>
      </c>
      <c r="B47">
        <v>-1.0168313747269999E-4</v>
      </c>
    </row>
    <row r="48" spans="1:2" x14ac:dyDescent="0.35">
      <c r="A48" t="s">
        <v>54</v>
      </c>
      <c r="B48">
        <v>-2.357863559154E-4</v>
      </c>
    </row>
    <row r="49" spans="1:2" x14ac:dyDescent="0.35">
      <c r="A49" t="s">
        <v>55</v>
      </c>
      <c r="B49">
        <v>-5.2686023991554982E-5</v>
      </c>
    </row>
    <row r="50" spans="1:2" x14ac:dyDescent="0.35">
      <c r="A50" t="s">
        <v>56</v>
      </c>
      <c r="B50">
        <v>2.7564581250769999E-4</v>
      </c>
    </row>
    <row r="51" spans="1:2" x14ac:dyDescent="0.35">
      <c r="A51" t="s">
        <v>58</v>
      </c>
      <c r="B51">
        <v>3.2542389817530001E-4</v>
      </c>
    </row>
    <row r="52" spans="1:2" x14ac:dyDescent="0.35">
      <c r="A52" t="s">
        <v>60</v>
      </c>
      <c r="B52">
        <v>3.9963252493179998E-4</v>
      </c>
    </row>
    <row r="53" spans="1:2" x14ac:dyDescent="0.35">
      <c r="A53" t="s">
        <v>61</v>
      </c>
      <c r="B53">
        <v>-1.6100196808110001E-4</v>
      </c>
    </row>
    <row r="54" spans="1:2" x14ac:dyDescent="0.35">
      <c r="A54" t="s">
        <v>63</v>
      </c>
      <c r="B54">
        <v>1.064677780959E-4</v>
      </c>
    </row>
    <row r="55" spans="1:2" x14ac:dyDescent="0.35">
      <c r="A55" t="s">
        <v>64</v>
      </c>
      <c r="B55">
        <v>1.761684688972E-4</v>
      </c>
    </row>
    <row r="56" spans="1:2" x14ac:dyDescent="0.35">
      <c r="A56" t="s">
        <v>65</v>
      </c>
      <c r="B56">
        <v>3.498008300084E-4</v>
      </c>
    </row>
    <row r="57" spans="1:2" x14ac:dyDescent="0.35">
      <c r="A57" t="s">
        <v>66</v>
      </c>
      <c r="B57">
        <v>-6.630927964579314E-5</v>
      </c>
    </row>
    <row r="58" spans="1:2" x14ac:dyDescent="0.35">
      <c r="A58" t="s">
        <v>67</v>
      </c>
      <c r="B58">
        <v>1.1714812717400001E-4</v>
      </c>
    </row>
    <row r="59" spans="1:2" x14ac:dyDescent="0.35">
      <c r="A59" t="s">
        <v>68</v>
      </c>
      <c r="B59">
        <v>1.089670113287E-4</v>
      </c>
    </row>
    <row r="60" spans="1:2" x14ac:dyDescent="0.35">
      <c r="A60" t="s">
        <v>71</v>
      </c>
      <c r="B60">
        <v>2.9863067902619999E-4</v>
      </c>
    </row>
    <row r="61" spans="1:2" x14ac:dyDescent="0.35">
      <c r="A61" t="s">
        <v>72</v>
      </c>
      <c r="B61">
        <v>-4.2239064350719997E-4</v>
      </c>
    </row>
    <row r="62" spans="1:2" x14ac:dyDescent="0.35">
      <c r="A62" t="s">
        <v>75</v>
      </c>
      <c r="B62">
        <v>-1.720845029922E-4</v>
      </c>
    </row>
    <row r="63" spans="1:2" x14ac:dyDescent="0.35">
      <c r="A63" t="s">
        <v>76</v>
      </c>
      <c r="B63">
        <v>3.694123297464E-4</v>
      </c>
    </row>
    <row r="64" spans="1:2" x14ac:dyDescent="0.35">
      <c r="A64" t="s">
        <v>77</v>
      </c>
      <c r="B64">
        <v>1.5419397095679999E-4</v>
      </c>
    </row>
    <row r="65" spans="1:2" x14ac:dyDescent="0.35">
      <c r="A65" t="s">
        <v>79</v>
      </c>
      <c r="B65">
        <v>3.2197451218960002E-4</v>
      </c>
    </row>
    <row r="66" spans="1:2" x14ac:dyDescent="0.35">
      <c r="A66" t="s">
        <v>80</v>
      </c>
      <c r="B66">
        <v>-5.6716813560342423E-5</v>
      </c>
    </row>
    <row r="67" spans="1:2" x14ac:dyDescent="0.35">
      <c r="A67" t="s">
        <v>82</v>
      </c>
      <c r="B67">
        <v>6.5792228269856423E-5</v>
      </c>
    </row>
    <row r="68" spans="1:2" x14ac:dyDescent="0.35">
      <c r="A68" t="s">
        <v>84</v>
      </c>
      <c r="B68">
        <v>3.8384972140189999E-4</v>
      </c>
    </row>
    <row r="69" spans="1:2" x14ac:dyDescent="0.35">
      <c r="A69" t="s">
        <v>85</v>
      </c>
      <c r="B69">
        <v>5.020344397053E-4</v>
      </c>
    </row>
    <row r="70" spans="1:2" x14ac:dyDescent="0.35">
      <c r="A70" t="s">
        <v>86</v>
      </c>
      <c r="B70">
        <v>5.9626542497420005E-4</v>
      </c>
    </row>
    <row r="71" spans="1:2" x14ac:dyDescent="0.35">
      <c r="A71" t="s">
        <v>87</v>
      </c>
      <c r="B71">
        <v>6.8904651561749999E-4</v>
      </c>
    </row>
    <row r="72" spans="1:2" x14ac:dyDescent="0.35">
      <c r="A72" t="s">
        <v>89</v>
      </c>
      <c r="B72">
        <v>1.917484041769E-4</v>
      </c>
    </row>
    <row r="73" spans="1:2" x14ac:dyDescent="0.35">
      <c r="A73" t="s">
        <v>90</v>
      </c>
      <c r="B73">
        <v>-5.4601085139429999E-4</v>
      </c>
    </row>
    <row r="74" spans="1:2" x14ac:dyDescent="0.35">
      <c r="A74" t="s">
        <v>91</v>
      </c>
      <c r="B74">
        <v>4.1244554449800002E-4</v>
      </c>
    </row>
    <row r="75" spans="1:2" x14ac:dyDescent="0.35">
      <c r="A75" t="s">
        <v>93</v>
      </c>
      <c r="B75">
        <v>5.3135314374230802E-5</v>
      </c>
    </row>
    <row r="76" spans="1:2" x14ac:dyDescent="0.35">
      <c r="A76" t="s">
        <v>96</v>
      </c>
      <c r="B76">
        <v>3.5663865855890001E-4</v>
      </c>
    </row>
    <row r="77" spans="1:2" x14ac:dyDescent="0.35">
      <c r="A77" t="s">
        <v>97</v>
      </c>
      <c r="B77">
        <v>-1.1341793288009999E-4</v>
      </c>
    </row>
    <row r="78" spans="1:2" x14ac:dyDescent="0.35">
      <c r="A78" t="s">
        <v>99</v>
      </c>
      <c r="B78">
        <v>1.017593895085E-4</v>
      </c>
    </row>
    <row r="79" spans="1:2" x14ac:dyDescent="0.35">
      <c r="A79" t="s">
        <v>100</v>
      </c>
      <c r="B79">
        <v>2.559984859544E-4</v>
      </c>
    </row>
    <row r="80" spans="1:2" x14ac:dyDescent="0.35">
      <c r="A80" t="s">
        <v>102</v>
      </c>
      <c r="B80">
        <v>1.7734815628500659E-5</v>
      </c>
    </row>
    <row r="81" spans="1:2" x14ac:dyDescent="0.35">
      <c r="A81" t="s">
        <v>104</v>
      </c>
      <c r="B81">
        <v>2.5417108554390001E-4</v>
      </c>
    </row>
    <row r="82" spans="1:2" x14ac:dyDescent="0.35">
      <c r="A82" t="s">
        <v>105</v>
      </c>
      <c r="B82">
        <v>-3.0572444666169998E-4</v>
      </c>
    </row>
    <row r="83" spans="1:2" x14ac:dyDescent="0.35">
      <c r="A83" t="s">
        <v>106</v>
      </c>
      <c r="B83">
        <v>2.1080885198889999E-4</v>
      </c>
    </row>
    <row r="84" spans="1:2" x14ac:dyDescent="0.35">
      <c r="A84" t="s">
        <v>107</v>
      </c>
      <c r="B84">
        <v>-2.8518849285309999E-4</v>
      </c>
    </row>
    <row r="85" spans="1:2" x14ac:dyDescent="0.35">
      <c r="A85" t="s">
        <v>108</v>
      </c>
      <c r="B85">
        <v>5.3200486581769996E-4</v>
      </c>
    </row>
    <row r="86" spans="1:2" x14ac:dyDescent="0.35">
      <c r="A86" t="s">
        <v>110</v>
      </c>
      <c r="B86">
        <v>-7.9969839134719223E-5</v>
      </c>
    </row>
    <row r="87" spans="1:2" x14ac:dyDescent="0.35">
      <c r="A87" t="s">
        <v>111</v>
      </c>
      <c r="B87">
        <v>-5.097843240946E-4</v>
      </c>
    </row>
    <row r="88" spans="1:2" x14ac:dyDescent="0.35">
      <c r="A88" t="s">
        <v>113</v>
      </c>
      <c r="B88">
        <v>1.0296977052348669E-5</v>
      </c>
    </row>
    <row r="89" spans="1:2" x14ac:dyDescent="0.35">
      <c r="A89" t="s">
        <v>116</v>
      </c>
      <c r="B89">
        <v>-7.0585330831818283E-5</v>
      </c>
    </row>
    <row r="90" spans="1:2" x14ac:dyDescent="0.35">
      <c r="A90" t="s">
        <v>117</v>
      </c>
      <c r="B90">
        <v>1.7874188779380001E-4</v>
      </c>
    </row>
    <row r="91" spans="1:2" x14ac:dyDescent="0.35">
      <c r="A91" t="s">
        <v>118</v>
      </c>
      <c r="B91">
        <v>-3.5932931496063247E-5</v>
      </c>
    </row>
    <row r="92" spans="1:2" x14ac:dyDescent="0.35">
      <c r="A92" t="s">
        <v>119</v>
      </c>
      <c r="B92">
        <v>-1.5318821533580001E-4</v>
      </c>
    </row>
    <row r="93" spans="1:2" x14ac:dyDescent="0.35">
      <c r="A93" t="s">
        <v>120</v>
      </c>
      <c r="B93">
        <v>2.484531723894E-4</v>
      </c>
    </row>
    <row r="94" spans="1:2" x14ac:dyDescent="0.35">
      <c r="A94" t="s">
        <v>121</v>
      </c>
      <c r="B94">
        <v>-2.531922946218E-4</v>
      </c>
    </row>
    <row r="95" spans="1:2" x14ac:dyDescent="0.35">
      <c r="A95" t="s">
        <v>122</v>
      </c>
      <c r="B95">
        <v>7.9914592788554728E-5</v>
      </c>
    </row>
    <row r="96" spans="1:2" x14ac:dyDescent="0.35">
      <c r="A96" t="s">
        <v>123</v>
      </c>
      <c r="B96">
        <v>3.1471264082929998E-4</v>
      </c>
    </row>
    <row r="97" spans="1:2" x14ac:dyDescent="0.35">
      <c r="A97" t="s">
        <v>125</v>
      </c>
      <c r="B97">
        <v>2.5229726452380001E-4</v>
      </c>
    </row>
    <row r="98" spans="1:2" x14ac:dyDescent="0.35">
      <c r="A98" t="s">
        <v>126</v>
      </c>
      <c r="B98">
        <v>-9.1478163085412234E-5</v>
      </c>
    </row>
    <row r="99" spans="1:2" x14ac:dyDescent="0.35">
      <c r="A99" t="s">
        <v>128</v>
      </c>
      <c r="B99">
        <v>1.942218514159E-4</v>
      </c>
    </row>
    <row r="100" spans="1:2" x14ac:dyDescent="0.35">
      <c r="A100" t="s">
        <v>129</v>
      </c>
      <c r="B100">
        <v>2.9894761973990001E-4</v>
      </c>
    </row>
    <row r="101" spans="1:2" x14ac:dyDescent="0.35">
      <c r="A101" t="s">
        <v>130</v>
      </c>
      <c r="B101">
        <v>-1.2478618009479999E-4</v>
      </c>
    </row>
    <row r="102" spans="1:2" x14ac:dyDescent="0.35">
      <c r="A102" t="s">
        <v>131</v>
      </c>
      <c r="B102">
        <v>1.8091170932160001E-4</v>
      </c>
    </row>
    <row r="103" spans="1:2" x14ac:dyDescent="0.35">
      <c r="A103" t="s">
        <v>132</v>
      </c>
      <c r="B103">
        <v>6.6299682657700032E-5</v>
      </c>
    </row>
    <row r="104" spans="1:2" x14ac:dyDescent="0.35">
      <c r="A104" t="s">
        <v>133</v>
      </c>
      <c r="B104">
        <v>5.0743474275805063E-5</v>
      </c>
    </row>
    <row r="105" spans="1:2" x14ac:dyDescent="0.35">
      <c r="A105" t="s">
        <v>134</v>
      </c>
      <c r="B105">
        <v>-2.1849376207679999E-4</v>
      </c>
    </row>
    <row r="106" spans="1:2" x14ac:dyDescent="0.35">
      <c r="A106" t="s">
        <v>135</v>
      </c>
      <c r="B106">
        <v>9.6450741693843156E-5</v>
      </c>
    </row>
    <row r="107" spans="1:2" x14ac:dyDescent="0.35">
      <c r="A107" t="s">
        <v>136</v>
      </c>
      <c r="B107">
        <v>2.7591123944140002E-4</v>
      </c>
    </row>
    <row r="108" spans="1:2" x14ac:dyDescent="0.35">
      <c r="A108" t="s">
        <v>137</v>
      </c>
      <c r="B108">
        <v>-1.2809586769430001E-4</v>
      </c>
    </row>
    <row r="109" spans="1:2" x14ac:dyDescent="0.35">
      <c r="A109" t="s">
        <v>138</v>
      </c>
      <c r="B109">
        <v>1.9135243201159999E-4</v>
      </c>
    </row>
    <row r="110" spans="1:2" x14ac:dyDescent="0.35">
      <c r="A110" t="s">
        <v>139</v>
      </c>
      <c r="B110">
        <v>7.8574135841336101E-5</v>
      </c>
    </row>
    <row r="111" spans="1:2" x14ac:dyDescent="0.35">
      <c r="A111" t="s">
        <v>140</v>
      </c>
      <c r="B111">
        <v>1.449314440833E-4</v>
      </c>
    </row>
    <row r="112" spans="1:2" x14ac:dyDescent="0.35">
      <c r="A112" t="s">
        <v>141</v>
      </c>
      <c r="B112">
        <v>-1.094401231966E-4</v>
      </c>
    </row>
    <row r="113" spans="1:2" x14ac:dyDescent="0.35">
      <c r="A113" t="s">
        <v>142</v>
      </c>
      <c r="B113">
        <v>8.4336257714312524E-5</v>
      </c>
    </row>
    <row r="114" spans="1:2" x14ac:dyDescent="0.35">
      <c r="A114" t="s">
        <v>143</v>
      </c>
      <c r="B114">
        <v>-1.4454405754800001E-4</v>
      </c>
    </row>
    <row r="115" spans="1:2" x14ac:dyDescent="0.35">
      <c r="A115" t="s">
        <v>144</v>
      </c>
      <c r="B115">
        <v>1.8668431948754009E-5</v>
      </c>
    </row>
    <row r="116" spans="1:2" x14ac:dyDescent="0.35">
      <c r="A116" t="s">
        <v>145</v>
      </c>
      <c r="B116">
        <v>5.0457939505569997E-4</v>
      </c>
    </row>
    <row r="117" spans="1:2" x14ac:dyDescent="0.35">
      <c r="A117" t="s">
        <v>147</v>
      </c>
      <c r="B117">
        <v>2.8853315598098561E-5</v>
      </c>
    </row>
    <row r="118" spans="1:2" x14ac:dyDescent="0.35">
      <c r="A118" t="s">
        <v>149</v>
      </c>
      <c r="B118">
        <v>7.7260512625789996E-4</v>
      </c>
    </row>
    <row r="119" spans="1:2" x14ac:dyDescent="0.35">
      <c r="A119" t="s">
        <v>150</v>
      </c>
      <c r="B119">
        <v>-9.03658292372711E-5</v>
      </c>
    </row>
    <row r="120" spans="1:2" x14ac:dyDescent="0.35">
      <c r="A120" t="s">
        <v>151</v>
      </c>
      <c r="B120">
        <v>1.9772745145010001E-4</v>
      </c>
    </row>
    <row r="121" spans="1:2" x14ac:dyDescent="0.35">
      <c r="A121" t="s">
        <v>152</v>
      </c>
      <c r="B121">
        <v>8.4051862359046936E-5</v>
      </c>
    </row>
    <row r="122" spans="1:2" x14ac:dyDescent="0.35">
      <c r="A122" t="s">
        <v>153</v>
      </c>
      <c r="B122">
        <v>-7.5416734034661204E-5</v>
      </c>
    </row>
    <row r="123" spans="1:2" x14ac:dyDescent="0.35">
      <c r="A123" t="s">
        <v>154</v>
      </c>
      <c r="B123">
        <v>-7.2969334723893553E-5</v>
      </c>
    </row>
    <row r="124" spans="1:2" x14ac:dyDescent="0.35">
      <c r="A124" t="s">
        <v>156</v>
      </c>
      <c r="B124">
        <v>8.341995271621272E-5</v>
      </c>
    </row>
    <row r="125" spans="1:2" x14ac:dyDescent="0.35">
      <c r="A125" t="s">
        <v>157</v>
      </c>
      <c r="B125">
        <v>3.2233881938736893E-5</v>
      </c>
    </row>
    <row r="126" spans="1:2" x14ac:dyDescent="0.35">
      <c r="A126" t="s">
        <v>158</v>
      </c>
      <c r="B126">
        <v>-7.4666379077825695E-5</v>
      </c>
    </row>
    <row r="127" spans="1:2" x14ac:dyDescent="0.35">
      <c r="A127" t="s">
        <v>159</v>
      </c>
      <c r="B127">
        <v>8.4338193119037896E-5</v>
      </c>
    </row>
    <row r="128" spans="1:2" x14ac:dyDescent="0.35">
      <c r="A128" t="s">
        <v>160</v>
      </c>
      <c r="B128">
        <v>-1.287995110033E-4</v>
      </c>
    </row>
    <row r="129" spans="1:2" x14ac:dyDescent="0.35">
      <c r="A129" t="s">
        <v>161</v>
      </c>
      <c r="B129">
        <v>4.355096607469E-4</v>
      </c>
    </row>
    <row r="130" spans="1:2" x14ac:dyDescent="0.35">
      <c r="A130" t="s">
        <v>162</v>
      </c>
      <c r="B130">
        <v>5.7332077994939998E-4</v>
      </c>
    </row>
    <row r="131" spans="1:2" x14ac:dyDescent="0.35">
      <c r="A131" t="s">
        <v>163</v>
      </c>
      <c r="B131">
        <v>5.0281238509340004E-4</v>
      </c>
    </row>
    <row r="132" spans="1:2" x14ac:dyDescent="0.35">
      <c r="A132" t="s">
        <v>164</v>
      </c>
      <c r="B132">
        <v>1.2961588799949999E-4</v>
      </c>
    </row>
    <row r="133" spans="1:2" x14ac:dyDescent="0.35">
      <c r="A133" t="s">
        <v>165</v>
      </c>
      <c r="B133">
        <v>8.4535058704204857E-6</v>
      </c>
    </row>
    <row r="134" spans="1:2" x14ac:dyDescent="0.35">
      <c r="A134" t="s">
        <v>167</v>
      </c>
      <c r="B134">
        <v>3.9315174217329998E-4</v>
      </c>
    </row>
    <row r="135" spans="1:2" x14ac:dyDescent="0.35">
      <c r="A135" t="s">
        <v>168</v>
      </c>
      <c r="B135">
        <v>2.2736419850843959E-5</v>
      </c>
    </row>
    <row r="136" spans="1:2" x14ac:dyDescent="0.35">
      <c r="A136" t="s">
        <v>169</v>
      </c>
      <c r="B136">
        <v>7.5424046372063458E-5</v>
      </c>
    </row>
    <row r="137" spans="1:2" x14ac:dyDescent="0.35">
      <c r="A137" t="s">
        <v>171</v>
      </c>
      <c r="B137">
        <v>2.053221251117E-4</v>
      </c>
    </row>
    <row r="138" spans="1:2" x14ac:dyDescent="0.35">
      <c r="A138" t="s">
        <v>172</v>
      </c>
      <c r="B138">
        <v>5.4222531616680001E-4</v>
      </c>
    </row>
    <row r="139" spans="1:2" x14ac:dyDescent="0.35">
      <c r="A139" t="s">
        <v>175</v>
      </c>
      <c r="B139">
        <v>6.2465929659080005E-4</v>
      </c>
    </row>
    <row r="140" spans="1:2" x14ac:dyDescent="0.35">
      <c r="A140" t="s">
        <v>176</v>
      </c>
      <c r="B140">
        <v>-5.9775156842079007E-5</v>
      </c>
    </row>
    <row r="141" spans="1:2" x14ac:dyDescent="0.35">
      <c r="A141" t="s">
        <v>178</v>
      </c>
      <c r="B141">
        <v>3.822788130491E-4</v>
      </c>
    </row>
    <row r="142" spans="1:2" x14ac:dyDescent="0.35">
      <c r="A142" t="s">
        <v>180</v>
      </c>
      <c r="B142">
        <v>7.5662152084987611E-5</v>
      </c>
    </row>
    <row r="143" spans="1:2" x14ac:dyDescent="0.35">
      <c r="A143" t="s">
        <v>181</v>
      </c>
      <c r="B143">
        <v>1.5218340558930001E-4</v>
      </c>
    </row>
    <row r="144" spans="1:2" x14ac:dyDescent="0.35">
      <c r="A144" t="s">
        <v>182</v>
      </c>
      <c r="B144">
        <v>3.5368968383400003E-4</v>
      </c>
    </row>
    <row r="145" spans="1:2" x14ac:dyDescent="0.35">
      <c r="A145" t="s">
        <v>183</v>
      </c>
      <c r="B145">
        <v>3.1089762342160002E-4</v>
      </c>
    </row>
    <row r="146" spans="1:2" x14ac:dyDescent="0.35">
      <c r="A146" t="s">
        <v>184</v>
      </c>
      <c r="B146">
        <v>1.203608990181E-4</v>
      </c>
    </row>
    <row r="147" spans="1:2" x14ac:dyDescent="0.35">
      <c r="A147" t="s">
        <v>185</v>
      </c>
      <c r="B147">
        <v>2.2438800442614599E-5</v>
      </c>
    </row>
    <row r="148" spans="1:2" x14ac:dyDescent="0.35">
      <c r="A148" t="s">
        <v>186</v>
      </c>
      <c r="B148">
        <v>-3.7905767385382212E-5</v>
      </c>
    </row>
    <row r="149" spans="1:2" x14ac:dyDescent="0.35">
      <c r="A149" t="s">
        <v>187</v>
      </c>
      <c r="B149">
        <v>1.3194077473590001E-4</v>
      </c>
    </row>
    <row r="150" spans="1:2" x14ac:dyDescent="0.35">
      <c r="A150" t="s">
        <v>188</v>
      </c>
      <c r="B150">
        <v>-5.3220006520859897E-5</v>
      </c>
    </row>
    <row r="151" spans="1:2" x14ac:dyDescent="0.35">
      <c r="A151" t="s">
        <v>189</v>
      </c>
      <c r="B151">
        <v>2.6555961812839998E-4</v>
      </c>
    </row>
    <row r="152" spans="1:2" x14ac:dyDescent="0.35">
      <c r="A152" t="s">
        <v>190</v>
      </c>
      <c r="B152">
        <v>8.5776596097269999E-4</v>
      </c>
    </row>
    <row r="153" spans="1:2" x14ac:dyDescent="0.35">
      <c r="A153" t="s">
        <v>191</v>
      </c>
      <c r="B153">
        <v>-1.2360035907470001E-4</v>
      </c>
    </row>
    <row r="154" spans="1:2" x14ac:dyDescent="0.35">
      <c r="A154" t="s">
        <v>192</v>
      </c>
      <c r="B154">
        <v>1.5730824088670001E-4</v>
      </c>
    </row>
    <row r="155" spans="1:2" x14ac:dyDescent="0.35">
      <c r="A155" t="s">
        <v>193</v>
      </c>
      <c r="B155">
        <v>7.3895649984469995E-4</v>
      </c>
    </row>
    <row r="156" spans="1:2" x14ac:dyDescent="0.35">
      <c r="A156" t="s">
        <v>194</v>
      </c>
      <c r="B156">
        <v>-6.1663461383430003E-4</v>
      </c>
    </row>
    <row r="157" spans="1:2" x14ac:dyDescent="0.35">
      <c r="A157" t="s">
        <v>195</v>
      </c>
      <c r="B157">
        <v>-1.409053656971E-4</v>
      </c>
    </row>
    <row r="158" spans="1:2" x14ac:dyDescent="0.35">
      <c r="A158" t="s">
        <v>196</v>
      </c>
      <c r="B158">
        <v>5.2633149607572711E-5</v>
      </c>
    </row>
    <row r="159" spans="1:2" x14ac:dyDescent="0.35">
      <c r="A159" t="s">
        <v>197</v>
      </c>
      <c r="B159">
        <v>7.3689105920490003E-4</v>
      </c>
    </row>
    <row r="160" spans="1:2" x14ac:dyDescent="0.35">
      <c r="A160" t="s">
        <v>198</v>
      </c>
      <c r="B160">
        <v>-1.61871445016E-4</v>
      </c>
    </row>
    <row r="161" spans="1:2" x14ac:dyDescent="0.35">
      <c r="A161" t="s">
        <v>199</v>
      </c>
      <c r="B161">
        <v>-1.2780721590380001E-4</v>
      </c>
    </row>
    <row r="162" spans="1:2" x14ac:dyDescent="0.35">
      <c r="A162" t="s">
        <v>200</v>
      </c>
      <c r="B162">
        <v>-1.4272236148819999E-4</v>
      </c>
    </row>
    <row r="163" spans="1:2" x14ac:dyDescent="0.35">
      <c r="A163" t="s">
        <v>201</v>
      </c>
      <c r="B163">
        <v>1.714540412649E-4</v>
      </c>
    </row>
    <row r="164" spans="1:2" x14ac:dyDescent="0.35">
      <c r="A164" t="s">
        <v>202</v>
      </c>
      <c r="B164">
        <v>1.646992168389E-4</v>
      </c>
    </row>
    <row r="165" spans="1:2" x14ac:dyDescent="0.35">
      <c r="A165" t="s">
        <v>203</v>
      </c>
      <c r="B165">
        <v>1.3033805589649999E-4</v>
      </c>
    </row>
    <row r="166" spans="1:2" x14ac:dyDescent="0.35">
      <c r="A166" t="s">
        <v>204</v>
      </c>
      <c r="B166">
        <v>-1.3245141599319999E-4</v>
      </c>
    </row>
    <row r="167" spans="1:2" x14ac:dyDescent="0.35">
      <c r="A167" t="s">
        <v>205</v>
      </c>
      <c r="B167">
        <v>-2.978654811158E-4</v>
      </c>
    </row>
    <row r="168" spans="1:2" x14ac:dyDescent="0.35">
      <c r="A168" t="s">
        <v>206</v>
      </c>
      <c r="B168">
        <v>8.2299491623410005E-4</v>
      </c>
    </row>
    <row r="169" spans="1:2" x14ac:dyDescent="0.35">
      <c r="A169" t="s">
        <v>207</v>
      </c>
      <c r="B169">
        <v>-8.8423541455995291E-5</v>
      </c>
    </row>
    <row r="170" spans="1:2" x14ac:dyDescent="0.35">
      <c r="A170" t="s">
        <v>208</v>
      </c>
      <c r="B170">
        <v>-3.9518094854420002E-4</v>
      </c>
    </row>
    <row r="171" spans="1:2" x14ac:dyDescent="0.35">
      <c r="A171" t="s">
        <v>209</v>
      </c>
      <c r="B171">
        <v>-1.0286720935255001E-3</v>
      </c>
    </row>
    <row r="172" spans="1:2" x14ac:dyDescent="0.35">
      <c r="A172" t="s">
        <v>210</v>
      </c>
      <c r="B172">
        <v>6.2295078532770005E-4</v>
      </c>
    </row>
    <row r="173" spans="1:2" x14ac:dyDescent="0.35">
      <c r="A173" t="s">
        <v>211</v>
      </c>
      <c r="B173">
        <v>1.5894454554650001E-4</v>
      </c>
    </row>
    <row r="174" spans="1:2" x14ac:dyDescent="0.35">
      <c r="A174" t="s">
        <v>212</v>
      </c>
      <c r="B174">
        <v>5.7398743228979996E-4</v>
      </c>
    </row>
    <row r="175" spans="1:2" x14ac:dyDescent="0.35">
      <c r="A175" t="s">
        <v>213</v>
      </c>
      <c r="B175">
        <v>-2.301605272805E-4</v>
      </c>
    </row>
    <row r="176" spans="1:2" x14ac:dyDescent="0.35">
      <c r="A176" t="s">
        <v>215</v>
      </c>
      <c r="B176">
        <v>2.585277252364E-4</v>
      </c>
    </row>
    <row r="177" spans="1:2" x14ac:dyDescent="0.35">
      <c r="A177" t="s">
        <v>216</v>
      </c>
      <c r="B177">
        <v>7.655071676708E-4</v>
      </c>
    </row>
    <row r="178" spans="1:2" x14ac:dyDescent="0.35">
      <c r="A178" t="s">
        <v>217</v>
      </c>
      <c r="B178">
        <v>1.260910503333E-4</v>
      </c>
    </row>
    <row r="179" spans="1:2" x14ac:dyDescent="0.35">
      <c r="A179" t="s">
        <v>218</v>
      </c>
      <c r="B179">
        <v>-3.5915817716149998E-4</v>
      </c>
    </row>
    <row r="180" spans="1:2" x14ac:dyDescent="0.35">
      <c r="A180" t="s">
        <v>219</v>
      </c>
      <c r="B180">
        <v>4.627836751751E-4</v>
      </c>
    </row>
    <row r="181" spans="1:2" x14ac:dyDescent="0.35">
      <c r="A181" t="s">
        <v>220</v>
      </c>
      <c r="B181">
        <v>5.5576756130900002E-4</v>
      </c>
    </row>
    <row r="182" spans="1:2" x14ac:dyDescent="0.35">
      <c r="A182" t="s">
        <v>221</v>
      </c>
      <c r="B182">
        <v>1.158544328063E-4</v>
      </c>
    </row>
    <row r="183" spans="1:2" x14ac:dyDescent="0.35">
      <c r="A183" t="s">
        <v>222</v>
      </c>
      <c r="B183">
        <v>7.3149887612089515E-5</v>
      </c>
    </row>
    <row r="184" spans="1:2" x14ac:dyDescent="0.35">
      <c r="A184" t="s">
        <v>223</v>
      </c>
      <c r="B184">
        <v>5.4636731510979998E-4</v>
      </c>
    </row>
    <row r="185" spans="1:2" x14ac:dyDescent="0.35">
      <c r="A185" t="s">
        <v>224</v>
      </c>
      <c r="B185">
        <v>-2.1775600907849999E-4</v>
      </c>
    </row>
    <row r="186" spans="1:2" x14ac:dyDescent="0.35">
      <c r="A186" t="s">
        <v>225</v>
      </c>
      <c r="B186">
        <v>7.3623261414460005E-4</v>
      </c>
    </row>
    <row r="187" spans="1:2" x14ac:dyDescent="0.35">
      <c r="A187" t="s">
        <v>226</v>
      </c>
      <c r="B187">
        <v>-8.1285921623930335E-5</v>
      </c>
    </row>
    <row r="188" spans="1:2" x14ac:dyDescent="0.35">
      <c r="A188" t="s">
        <v>227</v>
      </c>
      <c r="B188">
        <v>4.4630432967090002E-4</v>
      </c>
    </row>
    <row r="189" spans="1:2" x14ac:dyDescent="0.35">
      <c r="A189" t="s">
        <v>228</v>
      </c>
      <c r="B189">
        <v>-1.178376478492E-4</v>
      </c>
    </row>
    <row r="190" spans="1:2" x14ac:dyDescent="0.35">
      <c r="A190" t="s">
        <v>229</v>
      </c>
      <c r="B190">
        <v>-5.5605476518394432E-5</v>
      </c>
    </row>
    <row r="191" spans="1:2" x14ac:dyDescent="0.35">
      <c r="A191" t="s">
        <v>230</v>
      </c>
      <c r="B191">
        <v>2.9118418751750141E-5</v>
      </c>
    </row>
    <row r="192" spans="1:2" x14ac:dyDescent="0.35">
      <c r="A192" t="s">
        <v>231</v>
      </c>
      <c r="B192">
        <v>6.7836750531569123E-5</v>
      </c>
    </row>
    <row r="193" spans="1:2" x14ac:dyDescent="0.35">
      <c r="A193" t="s">
        <v>232</v>
      </c>
      <c r="B193">
        <v>8.5356662748379999E-4</v>
      </c>
    </row>
    <row r="194" spans="1:2" x14ac:dyDescent="0.35">
      <c r="A194" t="s">
        <v>233</v>
      </c>
      <c r="B194">
        <v>2.763269294518E-4</v>
      </c>
    </row>
    <row r="195" spans="1:2" x14ac:dyDescent="0.35">
      <c r="A195" t="s">
        <v>234</v>
      </c>
      <c r="B195">
        <v>2.4929604478529651E-5</v>
      </c>
    </row>
    <row r="196" spans="1:2" x14ac:dyDescent="0.35">
      <c r="A196" t="s">
        <v>235</v>
      </c>
      <c r="B196">
        <v>-2.2297033865470439E-5</v>
      </c>
    </row>
    <row r="197" spans="1:2" x14ac:dyDescent="0.35">
      <c r="A197" t="s">
        <v>236</v>
      </c>
      <c r="B197">
        <v>3.6699313204729999E-4</v>
      </c>
    </row>
    <row r="198" spans="1:2" x14ac:dyDescent="0.35">
      <c r="A198" t="s">
        <v>237</v>
      </c>
      <c r="B198">
        <v>2.3732322733840001E-4</v>
      </c>
    </row>
    <row r="199" spans="1:2" x14ac:dyDescent="0.35">
      <c r="A199" t="s">
        <v>238</v>
      </c>
      <c r="B199">
        <v>6.7814653448294848E-5</v>
      </c>
    </row>
    <row r="200" spans="1:2" x14ac:dyDescent="0.35">
      <c r="A200" t="s">
        <v>239</v>
      </c>
      <c r="B200">
        <v>4.4146867003290002E-4</v>
      </c>
    </row>
    <row r="201" spans="1:2" x14ac:dyDescent="0.35">
      <c r="A201" t="s">
        <v>240</v>
      </c>
      <c r="B201">
        <v>-7.6838863606099039E-5</v>
      </c>
    </row>
    <row r="202" spans="1:2" x14ac:dyDescent="0.35">
      <c r="A202" t="s">
        <v>241</v>
      </c>
      <c r="B202">
        <v>-5.6739256251603358E-5</v>
      </c>
    </row>
    <row r="203" spans="1:2" x14ac:dyDescent="0.35">
      <c r="A203" t="s">
        <v>242</v>
      </c>
      <c r="B203">
        <v>3.7062398041589999E-4</v>
      </c>
    </row>
    <row r="204" spans="1:2" x14ac:dyDescent="0.35">
      <c r="A204" t="s">
        <v>243</v>
      </c>
      <c r="B204">
        <v>2.3893809702710001E-4</v>
      </c>
    </row>
    <row r="205" spans="1:2" x14ac:dyDescent="0.35">
      <c r="A205" t="s">
        <v>244</v>
      </c>
      <c r="B205">
        <v>2.2118123888500001E-4</v>
      </c>
    </row>
    <row r="206" spans="1:2" x14ac:dyDescent="0.35">
      <c r="A206" t="s">
        <v>245</v>
      </c>
      <c r="B206">
        <v>2.8288472094570001E-4</v>
      </c>
    </row>
    <row r="207" spans="1:2" x14ac:dyDescent="0.35">
      <c r="A207" t="s">
        <v>246</v>
      </c>
      <c r="B207">
        <v>3.9086930337360002E-4</v>
      </c>
    </row>
    <row r="208" spans="1:2" x14ac:dyDescent="0.35">
      <c r="A208" t="s">
        <v>247</v>
      </c>
      <c r="B208">
        <v>1.6302533913400001E-4</v>
      </c>
    </row>
    <row r="209" spans="1:2" x14ac:dyDescent="0.35">
      <c r="A209" t="s">
        <v>248</v>
      </c>
      <c r="B209">
        <v>-2.3937564401419999E-4</v>
      </c>
    </row>
    <row r="210" spans="1:2" x14ac:dyDescent="0.35">
      <c r="A210" t="s">
        <v>249</v>
      </c>
      <c r="B210">
        <v>-1.6139842045959089E-5</v>
      </c>
    </row>
    <row r="211" spans="1:2" x14ac:dyDescent="0.35">
      <c r="A211" t="s">
        <v>250</v>
      </c>
      <c r="B211">
        <v>5.2571832202370002E-4</v>
      </c>
    </row>
    <row r="212" spans="1:2" x14ac:dyDescent="0.35">
      <c r="A212" t="s">
        <v>251</v>
      </c>
      <c r="B212">
        <v>2.4133690749290001E-4</v>
      </c>
    </row>
    <row r="213" spans="1:2" x14ac:dyDescent="0.35">
      <c r="A213" t="s">
        <v>252</v>
      </c>
      <c r="B213">
        <v>-4.2434383067299999E-4</v>
      </c>
    </row>
    <row r="214" spans="1:2" x14ac:dyDescent="0.35">
      <c r="A214" t="s">
        <v>253</v>
      </c>
      <c r="B214">
        <v>-2.9913012986069998E-4</v>
      </c>
    </row>
    <row r="215" spans="1:2" x14ac:dyDescent="0.35">
      <c r="A215" t="s">
        <v>254</v>
      </c>
      <c r="B215">
        <v>6.0709920944646001E-5</v>
      </c>
    </row>
    <row r="216" spans="1:2" x14ac:dyDescent="0.35">
      <c r="A216" t="s">
        <v>255</v>
      </c>
      <c r="B216">
        <v>3.2937803189269998E-4</v>
      </c>
    </row>
    <row r="217" spans="1:2" x14ac:dyDescent="0.35">
      <c r="A217" t="s">
        <v>256</v>
      </c>
      <c r="B217">
        <v>-3.3890805207189998E-4</v>
      </c>
    </row>
    <row r="218" spans="1:2" x14ac:dyDescent="0.35">
      <c r="A218" t="s">
        <v>257</v>
      </c>
      <c r="B218">
        <v>-6.1159094912E-5</v>
      </c>
    </row>
    <row r="219" spans="1:2" x14ac:dyDescent="0.35">
      <c r="A219" t="s">
        <v>258</v>
      </c>
      <c r="B219">
        <v>8.2407158333799998E-4</v>
      </c>
    </row>
    <row r="220" spans="1:2" x14ac:dyDescent="0.35">
      <c r="A220" t="s">
        <v>259</v>
      </c>
      <c r="B220">
        <v>1.2816998059860001E-4</v>
      </c>
    </row>
    <row r="221" spans="1:2" x14ac:dyDescent="0.35">
      <c r="A221" t="s">
        <v>260</v>
      </c>
      <c r="B221">
        <v>7.8915618360042572E-5</v>
      </c>
    </row>
    <row r="222" spans="1:2" x14ac:dyDescent="0.35">
      <c r="A222" t="s">
        <v>261</v>
      </c>
      <c r="B222">
        <v>5.9162412071600003E-4</v>
      </c>
    </row>
    <row r="223" spans="1:2" x14ac:dyDescent="0.35">
      <c r="A223" t="s">
        <v>262</v>
      </c>
      <c r="B223">
        <v>3.9426321745849999E-4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Data_Terisi</vt:lpstr>
      <vt:lpstr>CH4_Clean</vt:lpstr>
      <vt:lpstr>CO_Clean</vt:lpstr>
      <vt:lpstr>NO2_Clean</vt:lpstr>
      <vt:lpstr>SO2_Clean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 ASUS</cp:lastModifiedBy>
  <dcterms:created xsi:type="dcterms:W3CDTF">2026-09-04T07:16:16Z</dcterms:created>
  <dcterms:modified xsi:type="dcterms:W3CDTF">2026-09-04T14:44:27Z</dcterms:modified>
</cp:coreProperties>
</file>